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.franke/Library/Containers/com.microsoft.Excel/Data/chat-golden/"/>
    </mc:Choice>
  </mc:AlternateContent>
  <xr:revisionPtr revIDLastSave="0" documentId="13_ncr:1_{543ECB06-07B4-E44F-83B7-0CB056AC6C48}" xr6:coauthVersionLast="47" xr6:coauthVersionMax="47" xr10:uidLastSave="{00000000-0000-0000-0000-000000000000}"/>
  <bookViews>
    <workbookView xWindow="0" yWindow="0" windowWidth="34560" windowHeight="22340" xr2:uid="{00000000-000D-0000-FFFF-FFFF00000000}"/>
  </bookViews>
  <sheets>
    <sheet name="Legacy" sheetId="1" r:id="rId1"/>
    <sheet name="Dynamic" sheetId="2" r:id="rId2"/>
    <sheet name="Data" sheetId="3" r:id="rId3"/>
    <sheet name="Other" sheetId="4" r:id="rId4"/>
  </sheets>
  <definedNames>
    <definedName name="Nums">Data!$A$2:$A$11</definedName>
    <definedName name="Rate">0.05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4" l="1"/>
  <c r="B5017" i="2"/>
  <c r="B5005" i="2"/>
  <c r="B4993" i="2"/>
  <c r="B4981" i="2"/>
  <c r="B4969" i="2"/>
  <c r="B4957" i="2"/>
  <c r="B4945" i="2"/>
  <c r="B4933" i="2"/>
  <c r="B4921" i="2"/>
  <c r="B4909" i="2"/>
  <c r="B4897" i="2"/>
  <c r="B4885" i="2"/>
  <c r="B4873" i="2"/>
  <c r="B4861" i="2"/>
  <c r="B4849" i="2"/>
  <c r="B4837" i="2"/>
  <c r="B4825" i="2"/>
  <c r="B4813" i="2"/>
  <c r="B4801" i="2"/>
  <c r="B4789" i="2"/>
  <c r="B4777" i="2"/>
  <c r="B4765" i="2"/>
  <c r="B4753" i="2"/>
  <c r="B4741" i="2"/>
  <c r="B4729" i="2"/>
  <c r="B4717" i="2"/>
  <c r="B4705" i="2"/>
  <c r="B4693" i="2"/>
  <c r="B4681" i="2"/>
  <c r="B4669" i="2"/>
  <c r="B4657" i="2"/>
  <c r="B4645" i="2"/>
  <c r="B4633" i="2"/>
  <c r="B4621" i="2"/>
  <c r="B4609" i="2"/>
  <c r="B4597" i="2"/>
  <c r="B4585" i="2"/>
  <c r="B4573" i="2"/>
  <c r="B4561" i="2"/>
  <c r="B4549" i="2"/>
  <c r="B4537" i="2"/>
  <c r="B4525" i="2"/>
  <c r="B4513" i="2"/>
  <c r="B4501" i="2"/>
  <c r="B4489" i="2"/>
  <c r="B4477" i="2"/>
  <c r="B4465" i="2"/>
  <c r="B4453" i="2"/>
  <c r="B4441" i="2"/>
  <c r="B4429" i="2" a="1"/>
  <c r="B4429" i="2"/>
  <c r="B4417" i="2"/>
  <c r="B4405" i="2"/>
  <c r="B4393" i="2"/>
  <c r="B4381" i="2"/>
  <c r="B4369" i="2"/>
  <c r="B4357" i="2"/>
  <c r="B4345" i="2"/>
  <c r="B4285" i="2" a="1"/>
  <c r="B4285" i="2" s="1"/>
  <c r="B4273" i="2"/>
  <c r="B4261" i="2"/>
  <c r="B4249" i="2"/>
  <c r="B4237" i="2"/>
  <c r="B4225" i="2"/>
  <c r="B4213" i="2"/>
  <c r="B4201" i="2"/>
  <c r="B4189" i="2"/>
  <c r="B4177" i="2" a="1"/>
  <c r="B4177" i="2" s="1"/>
  <c r="B4165" i="2" a="1"/>
  <c r="B4165" i="2" s="1"/>
  <c r="B4153" i="2" a="1"/>
  <c r="B4153" i="2" s="1"/>
  <c r="B4141" i="2" a="1"/>
  <c r="B4141" i="2" s="1"/>
  <c r="B4129" i="2" a="1"/>
  <c r="B4129" i="2" s="1"/>
  <c r="B4117" i="2" a="1"/>
  <c r="B4117" i="2" s="1"/>
  <c r="B4105" i="2" a="1"/>
  <c r="B4105" i="2" s="1"/>
  <c r="B4093" i="2" a="1"/>
  <c r="B4093" i="2"/>
  <c r="B4081" i="2" a="1"/>
  <c r="B4081" i="2" s="1"/>
  <c r="B4069" i="2" a="1"/>
  <c r="B4069" i="2"/>
  <c r="B4057" i="2" a="1"/>
  <c r="B4057" i="2"/>
  <c r="B4045" i="2" a="1"/>
  <c r="B4045" i="2"/>
  <c r="B4033" i="2" a="1"/>
  <c r="B4033" i="2" s="1"/>
  <c r="B4021" i="2" a="1"/>
  <c r="B4021" i="2" s="1"/>
  <c r="B4009" i="2" a="1"/>
  <c r="B4009" i="2" s="1"/>
  <c r="B3997" i="2" a="1"/>
  <c r="B3997" i="2" s="1"/>
  <c r="B3985" i="2" a="1"/>
  <c r="B3985" i="2" s="1"/>
  <c r="B3973" i="2" a="1"/>
  <c r="B3973" i="2" s="1"/>
  <c r="B3961" i="2" a="1"/>
  <c r="B3961" i="2"/>
  <c r="B3949" i="2" a="1"/>
  <c r="B3949" i="2"/>
  <c r="B3937" i="2" a="1"/>
  <c r="B3937" i="2"/>
  <c r="B3925" i="2" a="1"/>
  <c r="B3925" i="2" s="1"/>
  <c r="B3913" i="2" a="1"/>
  <c r="B3913" i="2" s="1"/>
  <c r="B3901" i="2" a="1"/>
  <c r="B3901" i="2" s="1"/>
  <c r="B3889" i="2" a="1"/>
  <c r="B3889" i="2" s="1"/>
  <c r="B3877" i="2" a="1"/>
  <c r="B3877" i="2" s="1"/>
  <c r="B3865" i="2" a="1"/>
  <c r="B3865" i="2" s="1"/>
  <c r="B3853" i="2" a="1"/>
  <c r="B3853" i="2" s="1"/>
  <c r="B3841" i="2" a="1"/>
  <c r="B3841" i="2" s="1"/>
  <c r="B3829" i="2" a="1"/>
  <c r="B3829" i="2" s="1"/>
  <c r="B3817" i="2" a="1"/>
  <c r="B3817" i="2" s="1"/>
  <c r="B3805" i="2" a="1"/>
  <c r="B3805" i="2" s="1"/>
  <c r="B3793" i="2" a="1"/>
  <c r="B3793" i="2" s="1"/>
  <c r="B3781" i="2" a="1"/>
  <c r="B3781" i="2" s="1"/>
  <c r="B3769" i="2" a="1"/>
  <c r="B3769" i="2" s="1"/>
  <c r="B3757" i="2" a="1"/>
  <c r="B3757" i="2" s="1"/>
  <c r="B3745" i="2" a="1"/>
  <c r="B3745" i="2"/>
  <c r="B3733" i="2" a="1"/>
  <c r="B3733" i="2" s="1"/>
  <c r="B3721" i="2" a="1"/>
  <c r="B3721" i="2" s="1"/>
  <c r="B3709" i="2"/>
  <c r="B3697" i="2"/>
  <c r="B3685" i="2"/>
  <c r="B3673" i="2"/>
  <c r="B3661" i="2"/>
  <c r="B3649" i="2"/>
  <c r="B3637" i="2"/>
  <c r="B3625" i="2"/>
  <c r="B3613" i="2"/>
  <c r="B3601" i="2"/>
  <c r="B3589" i="2"/>
  <c r="B3577" i="2"/>
  <c r="B3565" i="2" a="1"/>
  <c r="B3565" i="2" s="1"/>
  <c r="B3553" i="2"/>
  <c r="B3541" i="2"/>
  <c r="B3529" i="2"/>
  <c r="B3517" i="2"/>
  <c r="B3505" i="2"/>
  <c r="B3493" i="2"/>
  <c r="B3481" i="2"/>
  <c r="B3469" i="2"/>
  <c r="B3457" i="2"/>
  <c r="B3445" i="2"/>
  <c r="B3433" i="2"/>
  <c r="B3421" i="2"/>
  <c r="B3409" i="2"/>
  <c r="B3397" i="2"/>
  <c r="B3385" i="2"/>
  <c r="B3373" i="2"/>
  <c r="B3361" i="2"/>
  <c r="B3349" i="2"/>
  <c r="B3337" i="2"/>
  <c r="B3325" i="2"/>
  <c r="B3313" i="2"/>
  <c r="B3301" i="2"/>
  <c r="B3289" i="2"/>
  <c r="B3277" i="2"/>
  <c r="B3265" i="2"/>
  <c r="B3253" i="2"/>
  <c r="B3241" i="2"/>
  <c r="B3229" i="2"/>
  <c r="B3217" i="2"/>
  <c r="B3205" i="2"/>
  <c r="B3193" i="2"/>
  <c r="B3181" i="2"/>
  <c r="B3169" i="2"/>
  <c r="B3157" i="2"/>
  <c r="B3145" i="2"/>
  <c r="B3133" i="2"/>
  <c r="B3121" i="2"/>
  <c r="B3109" i="2"/>
  <c r="B3097" i="2"/>
  <c r="B3085" i="2"/>
  <c r="B3073" i="2"/>
  <c r="B3061" i="2"/>
  <c r="B3049" i="2"/>
  <c r="B3037" i="2"/>
  <c r="B3025" i="2"/>
  <c r="B3013" i="2"/>
  <c r="B3001" i="2"/>
  <c r="B2989" i="2"/>
  <c r="B2977" i="2"/>
  <c r="B2965" i="2"/>
  <c r="B2953" i="2"/>
  <c r="B2941" i="2"/>
  <c r="B2929" i="2"/>
  <c r="B2917" i="2"/>
  <c r="B2905" i="2"/>
  <c r="B2893" i="2"/>
  <c r="B2881" i="2"/>
  <c r="B2869" i="2"/>
  <c r="B2857" i="2"/>
  <c r="B2845" i="2"/>
  <c r="B2821" i="2" a="1"/>
  <c r="B2821" i="2" s="1"/>
  <c r="B2809" i="2" a="1"/>
  <c r="B2809" i="2"/>
  <c r="B2797" i="2" a="1"/>
  <c r="B2797" i="2"/>
  <c r="B2785" i="2" a="1"/>
  <c r="B2785" i="2" s="1"/>
  <c r="B2773" i="2" a="1"/>
  <c r="B2773" i="2" s="1"/>
  <c r="B2761" i="2" a="1"/>
  <c r="B2761" i="2" s="1"/>
  <c r="B2749" i="2"/>
  <c r="B2737" i="2"/>
  <c r="B2725" i="2"/>
  <c r="B2713" i="2"/>
  <c r="B2701" i="2"/>
  <c r="B2689" i="2"/>
  <c r="B2677" i="2"/>
  <c r="B2665" i="2"/>
  <c r="B2653" i="2"/>
  <c r="B2641" i="2"/>
  <c r="B2629" i="2"/>
  <c r="B2617" i="2"/>
  <c r="B2605" i="2"/>
  <c r="B2593" i="2"/>
  <c r="B2581" i="2"/>
  <c r="B2569" i="2"/>
  <c r="B2557" i="2"/>
  <c r="B2545" i="2"/>
  <c r="B2533" i="2"/>
  <c r="B2521" i="2"/>
  <c r="B2509" i="2"/>
  <c r="B2497" i="2"/>
  <c r="B2485" i="2"/>
  <c r="B2473" i="2"/>
  <c r="B2461" i="2"/>
  <c r="B2449" i="2"/>
  <c r="B2437" i="2"/>
  <c r="B2425" i="2"/>
  <c r="B2413" i="2"/>
  <c r="B2401" i="2"/>
  <c r="B2389" i="2"/>
  <c r="B2377" i="2"/>
  <c r="B2365" i="2"/>
  <c r="B2353" i="2"/>
  <c r="B2341" i="2"/>
  <c r="B2329" i="2"/>
  <c r="B2317" i="2"/>
  <c r="B2305" i="2"/>
  <c r="B2293" i="2"/>
  <c r="B2281" i="2"/>
  <c r="B2269" i="2"/>
  <c r="B2257" i="2"/>
  <c r="B2245" i="2"/>
  <c r="B2233" i="2"/>
  <c r="B2221" i="2"/>
  <c r="B2209" i="2"/>
  <c r="B2197" i="2"/>
  <c r="B2185" i="2"/>
  <c r="B2173" i="2"/>
  <c r="B2161" i="2"/>
  <c r="B2149" i="2"/>
  <c r="B2137" i="2"/>
  <c r="B2125" i="2"/>
  <c r="B2113" i="2"/>
  <c r="B2101" i="2"/>
  <c r="B2089" i="2"/>
  <c r="B2077" i="2"/>
  <c r="B2065" i="2"/>
  <c r="B2053" i="2"/>
  <c r="B2041" i="2"/>
  <c r="B2029" i="2"/>
  <c r="B2017" i="2"/>
  <c r="B2005" i="2"/>
  <c r="B1993" i="2"/>
  <c r="B1981" i="2"/>
  <c r="B1969" i="2"/>
  <c r="B1957" i="2"/>
  <c r="B1945" i="2"/>
  <c r="B1933" i="2"/>
  <c r="B1921" i="2"/>
  <c r="B1909" i="2"/>
  <c r="B1897" i="2"/>
  <c r="B1885" i="2"/>
  <c r="B1873" i="2"/>
  <c r="B1861" i="2"/>
  <c r="B1849" i="2"/>
  <c r="B1837" i="2"/>
  <c r="B1825" i="2"/>
  <c r="B1813" i="2"/>
  <c r="B1801" i="2"/>
  <c r="B1789" i="2"/>
  <c r="B1777" i="2"/>
  <c r="B1765" i="2"/>
  <c r="B1753" i="2"/>
  <c r="B1741" i="2"/>
  <c r="B1729" i="2"/>
  <c r="B1717" i="2"/>
  <c r="B1705" i="2"/>
  <c r="B1693" i="2"/>
  <c r="B1681" i="2"/>
  <c r="B1669" i="2"/>
  <c r="B1657" i="2"/>
  <c r="B1645" i="2"/>
  <c r="B1633" i="2"/>
  <c r="B1621" i="2"/>
  <c r="B1609" i="2"/>
  <c r="B1597" i="2"/>
  <c r="B1585" i="2"/>
  <c r="B1573" i="2"/>
  <c r="B1561" i="2"/>
  <c r="B1549" i="2"/>
  <c r="B1537" i="2"/>
  <c r="B1525" i="2"/>
  <c r="B1513" i="2"/>
  <c r="B1501" i="2"/>
  <c r="B1489" i="2"/>
  <c r="B1477" i="2"/>
  <c r="B1465" i="2"/>
  <c r="B1453" i="2"/>
  <c r="B1441" i="2"/>
  <c r="B1429" i="2"/>
  <c r="B1417" i="2"/>
  <c r="B1405" i="2"/>
  <c r="B1393" i="2"/>
  <c r="B1381" i="2"/>
  <c r="B1369" i="2"/>
  <c r="B1357" i="2"/>
  <c r="B1345" i="2"/>
  <c r="B1333" i="2"/>
  <c r="B1321" i="2"/>
  <c r="B1309" i="2"/>
  <c r="B1297" i="2"/>
  <c r="B1285" i="2"/>
  <c r="B1273" i="2"/>
  <c r="B1261" i="2"/>
  <c r="B1249" i="2"/>
  <c r="B1237" i="2"/>
  <c r="B1225" i="2"/>
  <c r="B1213" i="2"/>
  <c r="B1201" i="2"/>
  <c r="B1189" i="2"/>
  <c r="B1177" i="2"/>
  <c r="B1165" i="2"/>
  <c r="B1153" i="2"/>
  <c r="B1141" i="2"/>
  <c r="B1129" i="2"/>
  <c r="B1117" i="2"/>
  <c r="B1105" i="2"/>
  <c r="B1093" i="2"/>
  <c r="B1081" i="2"/>
  <c r="B1069" i="2"/>
  <c r="B1057" i="2"/>
  <c r="B1045" i="2"/>
  <c r="B1033" i="2"/>
  <c r="B1021" i="2"/>
  <c r="B1009" i="2"/>
  <c r="B997" i="2"/>
  <c r="B985" i="2"/>
  <c r="B973" i="2"/>
  <c r="B961" i="2"/>
  <c r="B949" i="2"/>
  <c r="B937" i="2"/>
  <c r="B925" i="2"/>
  <c r="B913" i="2"/>
  <c r="B901" i="2"/>
  <c r="B889" i="2"/>
  <c r="B877" i="2"/>
  <c r="B865" i="2"/>
  <c r="B853" i="2"/>
  <c r="B841" i="2"/>
  <c r="B829" i="2"/>
  <c r="B817" i="2"/>
  <c r="B805" i="2"/>
  <c r="B793" i="2"/>
  <c r="B781" i="2"/>
  <c r="B769" i="2"/>
  <c r="B757" i="2"/>
  <c r="B745" i="2"/>
  <c r="B733" i="2"/>
  <c r="B721" i="2"/>
  <c r="B709" i="2"/>
  <c r="B697" i="2"/>
  <c r="B685" i="2"/>
  <c r="B673" i="2"/>
  <c r="B661" i="2"/>
  <c r="B649" i="2"/>
  <c r="B637" i="2"/>
  <c r="B625" i="2"/>
  <c r="B613" i="2"/>
  <c r="B601" i="2"/>
  <c r="B589" i="2"/>
  <c r="B577" i="2"/>
  <c r="B565" i="2"/>
  <c r="B553" i="2"/>
  <c r="B541" i="2"/>
  <c r="B529" i="2"/>
  <c r="B517" i="2"/>
  <c r="B505" i="2"/>
  <c r="B493" i="2"/>
  <c r="B481" i="2"/>
  <c r="B469" i="2"/>
  <c r="B457" i="2"/>
  <c r="B445" i="2"/>
  <c r="B433" i="2"/>
  <c r="B421" i="2"/>
  <c r="B409" i="2"/>
  <c r="B397" i="2"/>
  <c r="B385" i="2"/>
  <c r="B373" i="2"/>
  <c r="B361" i="2"/>
  <c r="B349" i="2"/>
  <c r="B337" i="2"/>
  <c r="B325" i="2" a="1"/>
  <c r="B325" i="2"/>
  <c r="B313" i="2"/>
  <c r="B301" i="2"/>
  <c r="B289" i="2"/>
  <c r="B277" i="2"/>
  <c r="B265" i="2"/>
  <c r="B253" i="2"/>
  <c r="B241" i="2"/>
  <c r="B229" i="2"/>
  <c r="B217" i="2"/>
  <c r="B205" i="2"/>
  <c r="B193" i="2"/>
  <c r="B181" i="2"/>
  <c r="B169" i="2"/>
  <c r="B157" i="2"/>
  <c r="B145" i="2"/>
  <c r="B133" i="2"/>
  <c r="B121" i="2"/>
  <c r="B109" i="2"/>
  <c r="B97" i="2"/>
  <c r="B85" i="2"/>
  <c r="B73" i="2"/>
  <c r="B61" i="2"/>
  <c r="B49" i="2"/>
  <c r="B37" i="2"/>
  <c r="B25" i="2"/>
  <c r="B13" i="2"/>
  <c r="B1" i="2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  <c r="B359" i="1"/>
  <c r="B362" i="1"/>
  <c r="B4333" i="2"/>
  <c r="B361" i="1"/>
  <c r="B4321" i="2"/>
  <c r="B360" i="1"/>
  <c r="B4309" i="2"/>
  <c r="B4297" i="2"/>
  <c r="B2833" i="2"/>
  <c r="B23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<sst xmlns="http://schemas.openxmlformats.org/spreadsheetml/2006/main" count="869" uniqueCount="443">
  <si>
    <t>operators: 1+2*3</t>
  </si>
  <si>
    <t>operators: -2^2</t>
  </si>
  <si>
    <t>operators: 2^-1</t>
  </si>
  <si>
    <t>operators: 10%</t>
  </si>
  <si>
    <t>operators: (1+2)%</t>
  </si>
  <si>
    <t>operators: "3"*"4"</t>
  </si>
  <si>
    <t>operators: 1+"2"</t>
  </si>
  <si>
    <t>operators: "a"&amp;1&amp;TRUE</t>
  </si>
  <si>
    <t>operators: TRUE+1</t>
  </si>
  <si>
    <t>operators: "10%"*2</t>
  </si>
  <si>
    <t>operators: 1=1.0</t>
  </si>
  <si>
    <t>operators: "A"="a"</t>
  </si>
  <si>
    <t>operators: 1&lt;"a"</t>
  </si>
  <si>
    <t>operators: TRUE&gt;1</t>
  </si>
  <si>
    <t>operators: "b"&gt;"A"</t>
  </si>
  <si>
    <t>operators: Data!C5=""</t>
  </si>
  <si>
    <t>operators: Data!C5=0</t>
  </si>
  <si>
    <t>operators: Data!C5+1</t>
  </si>
  <si>
    <t>operators: "1/15/2024"+0</t>
  </si>
  <si>
    <t>operators: "2024-01-15"+1</t>
  </si>
  <si>
    <t>operators: 0.1+0.2=0.3</t>
  </si>
  <si>
    <t>operators: 9E+307*10</t>
  </si>
  <si>
    <t>operators: 1/0</t>
  </si>
  <si>
    <t>operators: Data!C2+Data!C3</t>
  </si>
  <si>
    <t>operators: Data!C2+Data!C7</t>
  </si>
  <si>
    <t>operators: "x"+1</t>
  </si>
  <si>
    <t>operators: 2^0.5</t>
  </si>
  <si>
    <t>operators: Data!A2:A3*2</t>
  </si>
  <si>
    <t>math: SUM(Data!A2:A11)</t>
  </si>
  <si>
    <t>math: SUM(Data!C2:C11)</t>
  </si>
  <si>
    <t>math: SUM("2",3,TRUE)</t>
  </si>
  <si>
    <t>math: SUM(Data!A2:A11,100)</t>
  </si>
  <si>
    <t>math: SUM(Data!A:A)</t>
  </si>
  <si>
    <t>math: SUM(Nums)</t>
  </si>
  <si>
    <t>math: SUM(Data!A2:B11)</t>
  </si>
  <si>
    <t>math: ROUND(2.345,2)</t>
  </si>
  <si>
    <t>math: ROUND(-2.5,0)</t>
  </si>
  <si>
    <t>math: ROUND(1234.5,-2)</t>
  </si>
  <si>
    <t>math: ROUNDUP(2.341,2)</t>
  </si>
  <si>
    <t>math: ROUNDDOWN(-2.349,2)</t>
  </si>
  <si>
    <t>math: MROUND(17,5)</t>
  </si>
  <si>
    <t>math: CEILING(4.2,1)</t>
  </si>
  <si>
    <t>math: FLOOR(4.8,1)</t>
  </si>
  <si>
    <t>math: CEILING.MATH(-4.2)</t>
  </si>
  <si>
    <t>math: FLOOR.MATH(-4.2)</t>
  </si>
  <si>
    <t>math: INT(-2.5)</t>
  </si>
  <si>
    <t>math: TRUNC(-2.5)</t>
  </si>
  <si>
    <t>math: MOD(-7,3)</t>
  </si>
  <si>
    <t>math: MOD(7,-3)</t>
  </si>
  <si>
    <t>math: MOD(5,0)</t>
  </si>
  <si>
    <t>math: ABS(-3)</t>
  </si>
  <si>
    <t>math: SQRT(16)</t>
  </si>
  <si>
    <t>math: SQRT(-1)</t>
  </si>
  <si>
    <t>math: POWER(2,10)</t>
  </si>
  <si>
    <t>math: EXP(1)</t>
  </si>
  <si>
    <t>math: LN(10)</t>
  </si>
  <si>
    <t>math: LOG(100)</t>
  </si>
  <si>
    <t>math: LOG(8,2)</t>
  </si>
  <si>
    <t>math: LOG10(1000)</t>
  </si>
  <si>
    <t>math: PI()</t>
  </si>
  <si>
    <t>math: SIGN(-4)</t>
  </si>
  <si>
    <t>math: PRODUCT(Data!A2:A5)</t>
  </si>
  <si>
    <t>math: SUMPRODUCT(Data!G2:G11,Data!H2:H11)</t>
  </si>
  <si>
    <t>math: SUMPRODUCT((Data!E2:E11="a")*Data!A2:A11)</t>
  </si>
  <si>
    <t>math: SUMSQ(1,2,3)</t>
  </si>
  <si>
    <t>math: QUOTIENT(-7,2)</t>
  </si>
  <si>
    <t>math: GCD(12,18)</t>
  </si>
  <si>
    <t>math: LCM(4,6)</t>
  </si>
  <si>
    <t>math: FACT(5)</t>
  </si>
  <si>
    <t>math: COMBIN(5,2)</t>
  </si>
  <si>
    <t>math: PERMUT(5,2)</t>
  </si>
  <si>
    <t>math: EVEN(3)</t>
  </si>
  <si>
    <t>math: ODD(-2)</t>
  </si>
  <si>
    <t>math: ROMAN(1999)</t>
  </si>
  <si>
    <t>math: ARABIC("MCMXCIX")</t>
  </si>
  <si>
    <t>math: BASE(255,16)</t>
  </si>
  <si>
    <t>math: DECIMAL("FF",16)</t>
  </si>
  <si>
    <t>math: SUMIF(Data!A2:A11,"&gt;5")</t>
  </si>
  <si>
    <t>math: SUMIF(Data!E2:E11,"a",Data!A2:A11)</t>
  </si>
  <si>
    <t>math: SUMIF(Data!B2:B11,"*e*",Data!A2:A11)</t>
  </si>
  <si>
    <t>math: SUMIF(Data!C2:C11,"&lt;&gt;2")</t>
  </si>
  <si>
    <t>math: SUMIFS(Data!A2:A11,Data!E2:E11,"b",Data!A2:A11,"&gt;=6")</t>
  </si>
  <si>
    <t>math: COUNTIF(Data!C2:C11,"")</t>
  </si>
  <si>
    <t>math: COUNTIF(Data!C2:C11,"=")</t>
  </si>
  <si>
    <t>math: COUNTIF(Data!C2:C11,"&lt;&gt;")</t>
  </si>
  <si>
    <t>math: COUNTIF(Data!B2:B11,"?ig")</t>
  </si>
  <si>
    <t>math: COUNTIF(Data!A2:A11,5)</t>
  </si>
  <si>
    <t>math: COUNTIF(Data!C2:C11,"2")</t>
  </si>
  <si>
    <t>math: COUNTIFS(Data!E2:E11,"a",Data!A2:A11,"&lt;5")</t>
  </si>
  <si>
    <t>math: AVERAGEIF(Data!E2:E11,"c",Data!A2:A11)</t>
  </si>
  <si>
    <t>math: AVERAGEIFS(Data!A2:A11,Data!E2:E11,"a")</t>
  </si>
  <si>
    <t>math: MAXIFS(Data!A2:A11,Data!E2:E11,"b")</t>
  </si>
  <si>
    <t>math: MINIFS(Data!A2:A11,Data!E2:E11,"b")</t>
  </si>
  <si>
    <t>math: SUBTOTAL(9,Data!A2:A11)</t>
  </si>
  <si>
    <t>math: SUBTOTAL(1,Data!A2:A11)</t>
  </si>
  <si>
    <t>math: AGGREGATE(9,6,Data!A2:A11)</t>
  </si>
  <si>
    <t>statistics: AVERAGE(Data!A2:A11)</t>
  </si>
  <si>
    <t>statistics: AVERAGE(Data!C2:C11)</t>
  </si>
  <si>
    <t>statistics: AVERAGEA(Data!C2:C11)</t>
  </si>
  <si>
    <t>statistics: AVERAGE(1,"2",TRUE)</t>
  </si>
  <si>
    <t>statistics: COUNT(Data!C2:C11)</t>
  </si>
  <si>
    <t>statistics: COUNTA(Data!C2:C11)</t>
  </si>
  <si>
    <t>statistics: COUNTBLANK(Data!C2:C11)</t>
  </si>
  <si>
    <t>statistics: COUNT(1,"2",TRUE,"x")</t>
  </si>
  <si>
    <t>statistics: MAX(Data!A2:A11)</t>
  </si>
  <si>
    <t>statistics: MIN(Data!C2:C11)</t>
  </si>
  <si>
    <t>statistics: MAXA(Data!C2:C11)</t>
  </si>
  <si>
    <t>statistics: MEDIAN(Data!A2:A11)</t>
  </si>
  <si>
    <t>statistics: MODE.SNGL(1,2,2,3)</t>
  </si>
  <si>
    <t>statistics: STDEV.S(Data!A2:A11)</t>
  </si>
  <si>
    <t>statistics: STDEV.P(Data!A2:A11)</t>
  </si>
  <si>
    <t>statistics: VAR.S(Data!A2:A11)</t>
  </si>
  <si>
    <t>statistics: VAR.P(Data!A2:A11)</t>
  </si>
  <si>
    <t>statistics: LARGE(Data!A2:A11,2)</t>
  </si>
  <si>
    <t>statistics: SMALL(Data!A2:A11,3)</t>
  </si>
  <si>
    <t>statistics: RANK.EQ(7,Data!A2:A11)</t>
  </si>
  <si>
    <t>statistics: RANK.EQ(7,Data!A2:A11,1)</t>
  </si>
  <si>
    <t>statistics: PERCENTILE.INC(Data!A2:A11,0.3)</t>
  </si>
  <si>
    <t>statistics: PERCENTILE.EXC(Data!A2:A11,0.3)</t>
  </si>
  <si>
    <t>statistics: QUARTILE.INC(Data!A2:A11,1)</t>
  </si>
  <si>
    <t>statistics: CORREL(Data!A2:A11,Data!F2:F11)</t>
  </si>
  <si>
    <t>statistics: FORECAST.LINEAR(11,Data!F2:F11,Data!A2:A11)</t>
  </si>
  <si>
    <t>statistics: SLOPE(Data!F2:F11,Data!A2:A11)</t>
  </si>
  <si>
    <t>statistics: INTERCEPT(Data!F2:F11,Data!A2:A11)</t>
  </si>
  <si>
    <t>statistics: NORM.DIST(1,0,1,TRUE)</t>
  </si>
  <si>
    <t>statistics: NORM.S.INV(0.975)</t>
  </si>
  <si>
    <t>statistics: GEOMEAN(Data!A2:A11)</t>
  </si>
  <si>
    <t>statistics: AVERAGE(Data!C5)</t>
  </si>
  <si>
    <t>text: LEFT("Hello",2)</t>
  </si>
  <si>
    <t>text: RIGHT("Hello",3)</t>
  </si>
  <si>
    <t>text: MID("Hello",2,3)</t>
  </si>
  <si>
    <t>text: LEN("Héllo")</t>
  </si>
  <si>
    <t>text: UPPER("abc")</t>
  </si>
  <si>
    <t>text: LOWER("ABC")</t>
  </si>
  <si>
    <t>text: PROPER("hello wORLD o'neil")</t>
  </si>
  <si>
    <t>text: TRIM("  a   b  ")</t>
  </si>
  <si>
    <t>text: SUBSTITUTE("a-b-c","-","+")</t>
  </si>
  <si>
    <t>text: SUBSTITUTE("a-b-c","-","+",2)</t>
  </si>
  <si>
    <t>text: REPLACE("abcdef",2,3,"X")</t>
  </si>
  <si>
    <t>text: FIND("b","abcB")</t>
  </si>
  <si>
    <t>text: FIND("z","abc")</t>
  </si>
  <si>
    <t>text: SEARCH("B","abcB")</t>
  </si>
  <si>
    <t>text: SEARCH("c?e","abcdef")</t>
  </si>
  <si>
    <t>text: TEXT(1234.567,"#,##0.00")</t>
  </si>
  <si>
    <t>text: TEXT(0.256,"0.0%")</t>
  </si>
  <si>
    <t>text: TEXT(45292,"yyyy-mm-dd")</t>
  </si>
  <si>
    <t>text: TEXT(45292,"mmm d, yyyy")</t>
  </si>
  <si>
    <t>text: TEXT(45292,"dddd")</t>
  </si>
  <si>
    <t>text: TEXT(-1234.5,"$#,##0.00")</t>
  </si>
  <si>
    <t>text: TEXT(5,"000")</t>
  </si>
  <si>
    <t>text: VALUE("12.5")</t>
  </si>
  <si>
    <t>text: VALUE("1,234")</t>
  </si>
  <si>
    <t>text: VALUE("abc")</t>
  </si>
  <si>
    <t>text: CONCAT(Data!E2:E5)</t>
  </si>
  <si>
    <t>text: CONCATENATE("a",1,TRUE)</t>
  </si>
  <si>
    <t>text: TEXTJOIN(", ",TRUE,Data!C2:C6)</t>
  </si>
  <si>
    <t>text: TEXTJOIN("-",FALSE,"a","","b")</t>
  </si>
  <si>
    <t>text: REPT("ab",3)</t>
  </si>
  <si>
    <t>text: EXACT("a","A")</t>
  </si>
  <si>
    <t>text: CHAR(65)</t>
  </si>
  <si>
    <t>text: CODE("A")</t>
  </si>
  <si>
    <t>text: CLEAN("a"&amp;CHAR(7)&amp;"b")</t>
  </si>
  <si>
    <t>text: FIXED(1234.567,1)</t>
  </si>
  <si>
    <t>text: DOLLAR(1234.567)</t>
  </si>
  <si>
    <t>text: NUMBERVALUE("1.234,5",",",".")</t>
  </si>
  <si>
    <t>text: T(123)</t>
  </si>
  <si>
    <t>text: T("abc")</t>
  </si>
  <si>
    <t>text: N(TRUE)</t>
  </si>
  <si>
    <t>text: N("abc")</t>
  </si>
  <si>
    <t>text: TEXTBEFORE("a-b-c","-")</t>
  </si>
  <si>
    <t>text: TEXTAFTER("a-b-c","-",2)</t>
  </si>
  <si>
    <t>text: LEFT(Data!B3)</t>
  </si>
  <si>
    <t>text: LEN(Data!A2)</t>
  </si>
  <si>
    <t>text: Data!B2&amp;" x"&amp;Data!A2</t>
  </si>
  <si>
    <t>logic: IF(Data!A2&gt;4,"big","small")</t>
  </si>
  <si>
    <t>logic: IF(Data!C5,"yes","no")</t>
  </si>
  <si>
    <t>logic: IF("TRUE",1,2)</t>
  </si>
  <si>
    <t>logic: IF(1,"one")</t>
  </si>
  <si>
    <t>logic: IF(0,"one")</t>
  </si>
  <si>
    <t>logic: IFS(Data!A2&gt;8,"a",Data!A2&gt;4,"b",TRUE,"c")</t>
  </si>
  <si>
    <t>logic: IFS(FALSE,1)</t>
  </si>
  <si>
    <t>logic: AND(TRUE,1,Data!C2:C11)</t>
  </si>
  <si>
    <t>logic: AND(Data!B2:B3)</t>
  </si>
  <si>
    <t>logic: OR(FALSE,0)</t>
  </si>
  <si>
    <t>logic: XOR(TRUE,TRUE,TRUE)</t>
  </si>
  <si>
    <t>logic: NOT(0)</t>
  </si>
  <si>
    <t>logic: IFERROR(1/0,"div")</t>
  </si>
  <si>
    <t>logic: IFERROR(NA(),"na")</t>
  </si>
  <si>
    <t>logic: IFNA(NA(),"na")</t>
  </si>
  <si>
    <t>logic: IFNA(1/0,"na")</t>
  </si>
  <si>
    <t>logic: SWITCH(2,1,"one",2,"two","other")</t>
  </si>
  <si>
    <t>logic: SWITCH(9,1,"one")</t>
  </si>
  <si>
    <t>logic: CHOOSE(3,"a","b","c")</t>
  </si>
  <si>
    <t>logic: CHOOSE(4,"a","b","c")</t>
  </si>
  <si>
    <t>logic: TRUE()</t>
  </si>
  <si>
    <t>logic: IF(Data!A2&gt;4,Data!A2*2,1/0)</t>
  </si>
  <si>
    <t>lookups: VLOOKUP("fig",Data!B2:C11,2,FALSE)</t>
  </si>
  <si>
    <t>lookups: VLOOKUP("FIG",Data!B2:D11,3,FALSE)</t>
  </si>
  <si>
    <t>lookups: VLOOKUP("zzz",Data!B2:C11,2,FALSE)</t>
  </si>
  <si>
    <t>lookups: VLOOKUP(45,Data!F2:G11,2,TRUE)</t>
  </si>
  <si>
    <t>lookups: VLOOKUP(45,Data!F2:G11,2)</t>
  </si>
  <si>
    <t>lookups: VLOOKUP(5,Data!F2:G11,2,TRUE)</t>
  </si>
  <si>
    <t>lookups: VLOOKUP("k*",Data!B2:C11,2,FALSE)</t>
  </si>
  <si>
    <t>lookups: HLOOKUP("Date",Data!A1:H11,3,FALSE)</t>
  </si>
  <si>
    <t>lookups: MATCH("grape",Data!B2:B11,0)</t>
  </si>
  <si>
    <t>lookups: MATCH(55,Data!F2:F11,1)</t>
  </si>
  <si>
    <t>lookups: MATCH(55,Data!F2:F11)</t>
  </si>
  <si>
    <t>lookups: MATCH("GRAPE",Data!B2:B11,0)</t>
  </si>
  <si>
    <t>lookups: MATCH("g*",Data!B2:B11,0)</t>
  </si>
  <si>
    <t>lookups: INDEX(Data!A2:H11,3,2)</t>
  </si>
  <si>
    <t>lookups: INDEX(Data!B2:B11,4)</t>
  </si>
  <si>
    <t>lookups: INDEX(Data!A2:A11,MATCH("kiwi",Data!B2:B11,0))</t>
  </si>
  <si>
    <t>lookups: XLOOKUP("kiwi",Data!B2:B11,Data!A2:A11)</t>
  </si>
  <si>
    <t>lookups: XLOOKUP("KIWI",Data!B2:B11,Data!A2:A11)</t>
  </si>
  <si>
    <t>lookups: XLOOKUP("none",Data!B2:B11,Data!A2:A11,"missing")</t>
  </si>
  <si>
    <t>lookups: XLOOKUP("none",Data!B2:B11,Data!A2:A11)</t>
  </si>
  <si>
    <t>lookups: XLOOKUP("*on",Data!B2:B11,Data!A2:A11,,2)</t>
  </si>
  <si>
    <t>lookups: XLOOKUP("a",Data!E2:E11,Data!A2:A11,,0,-1)</t>
  </si>
  <si>
    <t>lookups: XLOOKUP(55,Data!F2:F11,Data!B2:B11,,-1)</t>
  </si>
  <si>
    <t>lookups: XLOOKUP(55,Data!F2:F11,Data!B2:B11,,1)</t>
  </si>
  <si>
    <t>lookups: XMATCH("c",Data!E2:E11)</t>
  </si>
  <si>
    <t>lookups: XMATCH("c",Data!E2:E11,0,-1)</t>
  </si>
  <si>
    <t>lookups: LOOKUP(55,Data!F2:F11,Data!B2:B11)</t>
  </si>
  <si>
    <t>lookups: ROWS(Data!A2:H11)</t>
  </si>
  <si>
    <t>lookups: COLUMNS(Data!A2:H11)</t>
  </si>
  <si>
    <t>lookups: ROW(Data!C7)</t>
  </si>
  <si>
    <t>lookups: COLUMN(Data!C7)</t>
  </si>
  <si>
    <t>lookups: ROW()</t>
  </si>
  <si>
    <t>lookups: COLUMN()</t>
  </si>
  <si>
    <t>lookups: SUM(INDEX(Data!A2:H11,0,1))</t>
  </si>
  <si>
    <t>lookups: TRANSPOSE(Data!A2:A4)</t>
  </si>
  <si>
    <t>lookups: SORT(Data!A2:A11)</t>
  </si>
  <si>
    <t>lookups: UNIQUE(Data!E2:E11)</t>
  </si>
  <si>
    <t>lookups: COUNTA(UNIQUE(Data!E2:E11))</t>
  </si>
  <si>
    <t>lookups: FILTER(Data!A2:A11,Data!E2:E11="a")</t>
  </si>
  <si>
    <t>lookups: SUM(FILTER(Data!A2:A11,Data!E2:E11="a"))</t>
  </si>
  <si>
    <t>lookups: INDIRECT("Data!A3")</t>
  </si>
  <si>
    <t>lookups: SUM(OFFSET(Data!A2,1,0,3,1))</t>
  </si>
  <si>
    <t>dates: DATE(2024,1,31)</t>
  </si>
  <si>
    <t>dates: DATE(2024,14,1)</t>
  </si>
  <si>
    <t>dates: DATE(2024,3,0)</t>
  </si>
  <si>
    <t>dates: DATE(24,1,1)</t>
  </si>
  <si>
    <t>dates: DATEVALUE("2024-01-31")</t>
  </si>
  <si>
    <t>dates: DATEVALUE("1/31/2024")</t>
  </si>
  <si>
    <t>dates: YEAR(Data!D5)</t>
  </si>
  <si>
    <t>dates: MONTH(Data!D5)</t>
  </si>
  <si>
    <t>dates: DAY(Data!D5)</t>
  </si>
  <si>
    <t>dates: WEEKDAY(Data!D2)</t>
  </si>
  <si>
    <t>dates: WEEKDAY(Data!D2,2)</t>
  </si>
  <si>
    <t>dates: WEEKNUM(Data!D5)</t>
  </si>
  <si>
    <t>dates: ISOWEEKNUM(Data!D5)</t>
  </si>
  <si>
    <t>dates: EDATE(Data!D2,1)</t>
  </si>
  <si>
    <t>dates: EDATE(DATE(2024,1,31),1)</t>
  </si>
  <si>
    <t>dates: EOMONTH(Data!D2,1)</t>
  </si>
  <si>
    <t>dates: EOMONTH(DATE(2024,2,10),0)</t>
  </si>
  <si>
    <t>dates: DAYS(Data!D11,Data!D2)</t>
  </si>
  <si>
    <t>dates: DATEDIF(Data!D2,Data!D11,"m")</t>
  </si>
  <si>
    <t>dates: DATEDIF(Data!D2,Data!D11,"d")</t>
  </si>
  <si>
    <t>dates: DATEDIF(DATE(2020,2,29),DATE(2024,2,28),"y")</t>
  </si>
  <si>
    <t>dates: NETWORKDAYS(Data!D2,Data!D3)</t>
  </si>
  <si>
    <t>dates: WORKDAY(Data!D2,10)</t>
  </si>
  <si>
    <t>dates: YEARFRAC(Data!D2,Data!D11)</t>
  </si>
  <si>
    <t>dates: YEARFRAC(Data!D2,Data!D11,1)</t>
  </si>
  <si>
    <t>dates: TIME(13,30,0)</t>
  </si>
  <si>
    <t>dates: HOUR(0.75)</t>
  </si>
  <si>
    <t>dates: MINUTE(0.5104)</t>
  </si>
  <si>
    <t>dates: DATE(1900,2,29)</t>
  </si>
  <si>
    <t>dates: DATE(1900,3,1)-DATE(1900,2,28)</t>
  </si>
  <si>
    <t>dates: Data!D3-Data!D2</t>
  </si>
  <si>
    <t>dates: YEAR("2024-06-01")</t>
  </si>
  <si>
    <t>finance: PMT(0.05/12,360,-200000)</t>
  </si>
  <si>
    <t>finance: PMT(0,12,1200)</t>
  </si>
  <si>
    <t>finance: PV(0.05,10,-1000)</t>
  </si>
  <si>
    <t>finance: FV(0.05/12,120,-100)</t>
  </si>
  <si>
    <t>finance: NPV(0.08,-1000,300,400,500)</t>
  </si>
  <si>
    <t>finance: IRR({-1000,300,400,500})</t>
  </si>
  <si>
    <t>finance: RATE(36,-300,10000)</t>
  </si>
  <si>
    <t>finance: NPER(0.01,-100,1000)</t>
  </si>
  <si>
    <t>finance: IPMT(0.05/12,1,360,-200000)</t>
  </si>
  <si>
    <t>finance: PPMT(0.05/12,1,360,-200000)</t>
  </si>
  <si>
    <t>finance: SLN(10000,1000,5)</t>
  </si>
  <si>
    <t>finance: DB(10000,1000,5,1)</t>
  </si>
  <si>
    <t>finance: PMT(Rate/12,24,-5000)</t>
  </si>
  <si>
    <t>info: ISNUMBER(Data!C3)</t>
  </si>
  <si>
    <t>info: ISNUMBER(Data!C2)</t>
  </si>
  <si>
    <t>info: ISTEXT(Data!C3)</t>
  </si>
  <si>
    <t>info: ISBLANK(Data!C5)</t>
  </si>
  <si>
    <t>info: ISBLANK("")</t>
  </si>
  <si>
    <t>info: ISERROR(1/0)</t>
  </si>
  <si>
    <t>info: ISNA(NA())</t>
  </si>
  <si>
    <t>info: ISNA(1/0)</t>
  </si>
  <si>
    <t>info: ISERR(NA())</t>
  </si>
  <si>
    <t>info: ISEVEN(4)</t>
  </si>
  <si>
    <t>info: ISODD(4.5)</t>
  </si>
  <si>
    <t>info: ISLOGICAL(Data!C4)</t>
  </si>
  <si>
    <t>info: TYPE("a")</t>
  </si>
  <si>
    <t>info: TYPE(TRUE)</t>
  </si>
  <si>
    <t>info: TYPE(Data!A2:A3)</t>
  </si>
  <si>
    <t>info: ERROR.TYPE(1/0)</t>
  </si>
  <si>
    <t>info: NA()</t>
  </si>
  <si>
    <t>info: ISFORMULA(Data!A2)</t>
  </si>
  <si>
    <t>references: Other!A1+Other!A2</t>
  </si>
  <si>
    <t>references: SUM(Other!A1:A2)</t>
  </si>
  <si>
    <t>references: Other!B1&amp;Other!B2</t>
  </si>
  <si>
    <t>references: SUM(Nums)/COUNT(Nums)</t>
  </si>
  <si>
    <t>references: Rate*100</t>
  </si>
  <si>
    <t>references: SUM(Data!A2:A11 Data!A5:C5)</t>
  </si>
  <si>
    <t>references: SUM(Data:Other!A2)</t>
  </si>
  <si>
    <t>references: SUM(Data!A2:A11)-SUM(Data!A2,Data!A3:A11)</t>
  </si>
  <si>
    <t>references: SUMPRODUCT(LEN(Data!B2:B11))</t>
  </si>
  <si>
    <t>references: MAX(Data!A2:A11*Data!G2:G11)</t>
  </si>
  <si>
    <t>references: SUM(Data!A2:A11^2)</t>
  </si>
  <si>
    <t>references: SUM((Data!A2:A11&gt;5)*1)</t>
  </si>
  <si>
    <t>references: SUM(IF(Data!A2:A11&gt;5,1,0))</t>
  </si>
  <si>
    <t>arrays: SEQUENCE(3)</t>
  </si>
  <si>
    <t>arrays: SEQUENCE(2,3,10,5)</t>
  </si>
  <si>
    <t>arrays: SEQUENCE(1,4)*2</t>
  </si>
  <si>
    <t>arrays: SORT(Data!B2:C11,1,-1)</t>
  </si>
  <si>
    <t>arrays: SORTBY(Data!B2:B11,Data!A2:A11)</t>
  </si>
  <si>
    <t>arrays: SORTBY(Data!B2:B11,Data!E2:E11,1,Data!A2:A11,-1)</t>
  </si>
  <si>
    <t>arrays: UNIQUE(Data!E2:E11,FALSE,TRUE)</t>
  </si>
  <si>
    <t>arrays: FILTER(Data!B2:B11,Data!A2:A11&gt;6)</t>
  </si>
  <si>
    <t>arrays: FILTER(Data!A2:A11,Data!E2:E11="z","none")</t>
  </si>
  <si>
    <t>arrays: FILTER(Data!A2:A11,Data!E2:E11="z")</t>
  </si>
  <si>
    <t>arrays: FILTER(Data!A2:B11,(Data!E2:E11="a")*(Data!A2:A11&gt;4))</t>
  </si>
  <si>
    <t>arrays: TAKE(Data!A2:B11,2)</t>
  </si>
  <si>
    <t>arrays: TAKE(Data!A2:A11,-2)</t>
  </si>
  <si>
    <t>arrays: DROP(Data!A2:A11,8)</t>
  </si>
  <si>
    <t>arrays: CHOOSECOLS(Data!A2:H3,2,1)</t>
  </si>
  <si>
    <t>arrays: CHOOSEROWS(Data!A2:B11,1,-1)</t>
  </si>
  <si>
    <t>arrays: VSTACK({1,2},{3,4})</t>
  </si>
  <si>
    <t>arrays: HSTACK(Data!A2:A3,Data!B2:B3)</t>
  </si>
  <si>
    <t>arrays: VSTACK({1,2},3)</t>
  </si>
  <si>
    <t>arrays: TOCOL(Data!A2:B3)</t>
  </si>
  <si>
    <t>arrays: TOROW(Data!C2:C6,1)</t>
  </si>
  <si>
    <t>arrays: Data!A2:A5*2</t>
  </si>
  <si>
    <t>arrays: Data!B2:B4&amp;"!"</t>
  </si>
  <si>
    <t>arrays: ROW(Data!A2:A4)</t>
  </si>
  <si>
    <t>arrays: LEN(Data!B2:B4)</t>
  </si>
  <si>
    <t>arrays: IF(Data!A2:A5&gt;4,"hi","lo")</t>
  </si>
  <si>
    <t>arrays: XLOOKUP("kiwi",Data!B2:B11,Data!A2:D11)</t>
  </si>
  <si>
    <t>arrays: INDEX(Data!A2:C4,2,0)</t>
  </si>
  <si>
    <t>arrays: INDEX(Data!A2:C4,0,2)</t>
  </si>
  <si>
    <t>arrays: Data!A2:A3</t>
  </si>
  <si>
    <t>arrays: COUNTIF(Data!E2:E11,{"a","b"})</t>
  </si>
  <si>
    <t>arrays: SUM(Data!A2:A11*Data!H2:H11)</t>
  </si>
  <si>
    <t>arrays: {1,2;3,4}</t>
  </si>
  <si>
    <t>arrays: IFERROR(1/(Data!A2:A4-3),"x")</t>
  </si>
  <si>
    <t>arrays: MATCH(1,(Data!E2:E11="b")*(Data!A2:A11&gt;5),0)</t>
  </si>
  <si>
    <t>features: SUM(Fruit[Num])</t>
  </si>
  <si>
    <t>features: SUM(Fruit[[Price]:[Qty]])</t>
  </si>
  <si>
    <t>features: ROWS(Fruit[#All])</t>
  </si>
  <si>
    <t>features: COUNTA(Fruit[#Headers])</t>
  </si>
  <si>
    <t>features: INDEX(Fruit[Name],3)</t>
  </si>
  <si>
    <t>features: SUMIFS(Fruit[Qty],Fruit[Cat],"a")</t>
  </si>
  <si>
    <t>features: LET(x,5,y,x*2,x+y)</t>
  </si>
  <si>
    <t>features: LET(total,SUM(Data!A2:A11),total/COUNT(Data!A2:A11))</t>
  </si>
  <si>
    <t>features: LET(r,Data!A2:A11,SUM(r*2))</t>
  </si>
  <si>
    <t>features: INDIRECT("Data!B"&amp;3)</t>
  </si>
  <si>
    <t>features: SUM(INDIRECT("Data!A2:A5"))</t>
  </si>
  <si>
    <t>features: INDIRECT("Data!R3C2",FALSE)</t>
  </si>
  <si>
    <t>features: SUM(INDIRECT("Nums"))</t>
  </si>
  <si>
    <t>features: SUM(OFFSET(Data!A2,2,0,3,2))</t>
  </si>
  <si>
    <t>features: OFFSET(Data!A2,3,1)</t>
  </si>
  <si>
    <t>features: ROWS(OFFSET(Data!A1,0,0,5,2))</t>
  </si>
  <si>
    <t>features: SUM(Data!A2:INDEX(Data!A2:A11,4))</t>
  </si>
  <si>
    <t>features: SUM((Data!A2:A3,Data!A6:A7))</t>
  </si>
  <si>
    <t>features: AREAS((Data!A2:A3,Data!A6:A7))</t>
  </si>
  <si>
    <t>features: INDEX((Data!A2:A3,Data!B2:B3),2,1,2)</t>
  </si>
  <si>
    <t>features: Data!A2:C5 Data!B3:D4</t>
  </si>
  <si>
    <t>features: SUM(Data!A2:C5 Data!B3:D4)</t>
  </si>
  <si>
    <t>features: SUM(Data!A2:A3 Data!B2:B3)</t>
  </si>
  <si>
    <t>features: SUM(Data:Other!A1)</t>
  </si>
  <si>
    <t>features: COUNT(Data:Other!A1:B2)</t>
  </si>
  <si>
    <t>features: TEXTBEFORE("one two three"," ",-1)</t>
  </si>
  <si>
    <t>features: TEXTAFTER("a-b-c","B",1,1)</t>
  </si>
  <si>
    <t>features: TEXTAFTER("a-b-c","x",1,0,0,"none")</t>
  </si>
  <si>
    <t>features: ISFORMULA(Other!A1)</t>
  </si>
  <si>
    <t>features: ISREF(Data!A1)</t>
  </si>
  <si>
    <t>features: ISREF(1)</t>
  </si>
  <si>
    <t>features: N(Data!B2)</t>
  </si>
  <si>
    <t>features: SUMPRODUCT((Data!E2:E11="a")*(Data!A2:A11&gt;3))</t>
  </si>
  <si>
    <t>features: SUMIF(Data!A2:A11,"&gt;"&amp;Data!A3)</t>
  </si>
  <si>
    <t>features: COUNTIF(Data!D2:D11,"&gt;="&amp;DATE(2024,5,1))</t>
  </si>
  <si>
    <t>features: VLOOKUP(2,Data!A2:B11,2,FALSE)</t>
  </si>
  <si>
    <t>features: HLOOKUP("Qty",Data!A1:H3,2,FALSE)</t>
  </si>
  <si>
    <t>features: LOOKUP(2,{1,2,3},{"a","b","c"})</t>
  </si>
  <si>
    <t>features: MATCH("b",{"a","b","c"},0)</t>
  </si>
  <si>
    <t>features: RANK.AVG(5,Data!A2:A11)</t>
  </si>
  <si>
    <t>features: MEDIAN(Data!C2:C11)</t>
  </si>
  <si>
    <t>features: MAX(Data!C2:C11,"20")</t>
  </si>
  <si>
    <t>features: MIN(TRUE,5)</t>
  </si>
  <si>
    <t>features: AVERAGEA(Data!C2:C6)</t>
  </si>
  <si>
    <t>features: COUNTA(Data!A1:H1,"",1)</t>
  </si>
  <si>
    <t>features: PRODUCT(Data!C2:C11)</t>
  </si>
  <si>
    <t>features: ROUND(2.675,2)</t>
  </si>
  <si>
    <t>features: ROUND(-1.005,2)</t>
  </si>
  <si>
    <t>features: 1-0.9</t>
  </si>
  <si>
    <t>features: 0.1*3</t>
  </si>
  <si>
    <t>features: TEXT(1234.5,"$#,##0.00_);($#,##0.00)")</t>
  </si>
  <si>
    <t>features: TEXT(0.5,"h:mm AM/PM")</t>
  </si>
  <si>
    <t>features: TEXT(1234567,"#,##0,")</t>
  </si>
  <si>
    <t>features: TEXT(0.123,"0.00E+00")</t>
  </si>
  <si>
    <t>features: TEXT("abc","@")</t>
  </si>
  <si>
    <t>features: VALUE("$1,234.50")</t>
  </si>
  <si>
    <t>features: VALUE("(12)")</t>
  </si>
  <si>
    <t>features: VALUE("15%")</t>
  </si>
  <si>
    <t>features: VALUE("13:30")</t>
  </si>
  <si>
    <t>features: VALUE("Jan 5, 2024")</t>
  </si>
  <si>
    <t>features: VALUE("5-Jan-2024")</t>
  </si>
  <si>
    <t>features: DATEVALUE("2024/2/29")</t>
  </si>
  <si>
    <t>features: DATEVALUE("2023-02-29")</t>
  </si>
  <si>
    <t>features: TIMEVALUE("6:45 PM")</t>
  </si>
  <si>
    <t>features: "3/1/2024"-"2/1/2024"</t>
  </si>
  <si>
    <t>features: WEEKDAY(DATE(1900,1,1))</t>
  </si>
  <si>
    <t>features: YEAR(60)</t>
  </si>
  <si>
    <t>features: DAY(0)</t>
  </si>
  <si>
    <t>features: WEEKNUM(DATE(2024,12,31),2)</t>
  </si>
  <si>
    <t>features: WEEKNUM(DATE(2025,1,1),21)</t>
  </si>
  <si>
    <t>b</t>
  </si>
  <si>
    <t>c</t>
  </si>
  <si>
    <t>kiwi</t>
  </si>
  <si>
    <t>honeydew</t>
  </si>
  <si>
    <t>grape</t>
  </si>
  <si>
    <t>fig</t>
  </si>
  <si>
    <t>x</t>
  </si>
  <si>
    <t>Elder</t>
  </si>
  <si>
    <t>date</t>
  </si>
  <si>
    <t>cherry</t>
  </si>
  <si>
    <t>Banana</t>
  </si>
  <si>
    <t>2</t>
  </si>
  <si>
    <t>apple</t>
  </si>
  <si>
    <t>lemon</t>
  </si>
  <si>
    <t>Num</t>
  </si>
  <si>
    <t>Name</t>
  </si>
  <si>
    <t>Mixed</t>
  </si>
  <si>
    <t>Date</t>
  </si>
  <si>
    <t>Cat</t>
  </si>
  <si>
    <t>Sorted</t>
  </si>
  <si>
    <t>Price</t>
  </si>
  <si>
    <t>Qty</t>
  </si>
  <si>
    <t>a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</si>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</sst>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uit" displayName="Fruit" ref="A1:H11">
  <tableColumns count="8">
    <tableColumn id="1" xr3:uid="{00000000-0010-0000-0000-000001000000}" name="Num"/>
    <tableColumn id="2" xr3:uid="{00000000-0010-0000-0000-000002000000}" name="Name"/>
    <tableColumn id="3" xr3:uid="{00000000-0010-0000-0000-000003000000}" name="Mixed"/>
    <tableColumn id="4" xr3:uid="{00000000-0010-0000-0000-000004000000}" name="Date"/>
    <tableColumn id="5" xr3:uid="{00000000-0010-0000-0000-000005000000}" name="Cat"/>
    <tableColumn id="6" xr3:uid="{00000000-0010-0000-0000-000006000000}" name="Sorted"/>
    <tableColumn id="7" xr3:uid="{00000000-0010-0000-0000-000007000000}" name="Price"/>
    <tableColumn id="8" xr3:uid="{00000000-0010-0000-0000-000008000000}" name="Qt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9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>
        <f>1+2*3</f>
        <v>7</v>
      </c>
    </row>
    <row r="2" spans="1:2" x14ac:dyDescent="0.2">
      <c r="A2" t="s">
        <v>1</v>
      </c>
      <c r="B2">
        <f>-2^2</f>
        <v>4</v>
      </c>
    </row>
    <row r="3" spans="1:2" x14ac:dyDescent="0.2">
      <c r="A3" t="s">
        <v>2</v>
      </c>
      <c r="B3">
        <f>2^-1</f>
        <v>0.5</v>
      </c>
    </row>
    <row r="4" spans="1:2" x14ac:dyDescent="0.2">
      <c r="A4" t="s">
        <v>3</v>
      </c>
      <c r="B4">
        <f>10%</f>
        <v>0.1</v>
      </c>
    </row>
    <row r="5" spans="1:2" x14ac:dyDescent="0.2">
      <c r="A5" t="s">
        <v>4</v>
      </c>
      <c r="B5">
        <f>(1+2)%</f>
        <v>0.03</v>
      </c>
    </row>
    <row r="6" spans="1:2" x14ac:dyDescent="0.2">
      <c r="A6" t="s">
        <v>5</v>
      </c>
      <c r="B6">
        <f>"3"*"4"</f>
        <v>12</v>
      </c>
    </row>
    <row r="7" spans="1:2" x14ac:dyDescent="0.2">
      <c r="A7" t="s">
        <v>6</v>
      </c>
      <c r="B7">
        <f>1+"2"</f>
        <v>3</v>
      </c>
    </row>
    <row r="8" spans="1:2" x14ac:dyDescent="0.2">
      <c r="A8" t="s">
        <v>7</v>
      </c>
      <c r="B8" t="str">
        <f>"a"&amp;1&amp;TRUE</f>
        <v>a1TRUE</v>
      </c>
    </row>
    <row r="9" spans="1:2" x14ac:dyDescent="0.2">
      <c r="A9" t="s">
        <v>8</v>
      </c>
      <c r="B9">
        <f>TRUE+1</f>
        <v>2</v>
      </c>
    </row>
    <row r="10" spans="1:2" x14ac:dyDescent="0.2">
      <c r="A10" t="s">
        <v>9</v>
      </c>
      <c r="B10">
        <f>"10%"*2</f>
        <v>0.2</v>
      </c>
    </row>
    <row r="11" spans="1:2" x14ac:dyDescent="0.2">
      <c r="A11" t="s">
        <v>10</v>
      </c>
      <c r="B11" t="b">
        <f>1=1</f>
        <v>1</v>
      </c>
    </row>
    <row r="12" spans="1:2" x14ac:dyDescent="0.2">
      <c r="A12" t="s">
        <v>11</v>
      </c>
      <c r="B12" t="b">
        <f>"A"="a"</f>
        <v>1</v>
      </c>
    </row>
    <row r="13" spans="1:2" x14ac:dyDescent="0.2">
      <c r="A13" t="s">
        <v>12</v>
      </c>
      <c r="B13" t="b">
        <f>1&lt;"a"</f>
        <v>1</v>
      </c>
    </row>
    <row r="14" spans="1:2" x14ac:dyDescent="0.2">
      <c r="A14" t="s">
        <v>13</v>
      </c>
      <c r="B14" t="b">
        <f>TRUE&gt;1</f>
        <v>1</v>
      </c>
    </row>
    <row r="15" spans="1:2" x14ac:dyDescent="0.2">
      <c r="A15" t="s">
        <v>14</v>
      </c>
      <c r="B15" t="b">
        <f>"b"&gt;"A"</f>
        <v>1</v>
      </c>
    </row>
    <row r="16" spans="1:2" x14ac:dyDescent="0.2">
      <c r="A16" t="s">
        <v>15</v>
      </c>
      <c r="B16" t="b">
        <f>Data!C5=""</f>
        <v>1</v>
      </c>
    </row>
    <row r="17" spans="1:2" x14ac:dyDescent="0.2">
      <c r="A17" t="s">
        <v>16</v>
      </c>
      <c r="B17" t="b">
        <f>Data!C5=0</f>
        <v>1</v>
      </c>
    </row>
    <row r="18" spans="1:2" x14ac:dyDescent="0.2">
      <c r="A18" t="s">
        <v>17</v>
      </c>
      <c r="B18">
        <f>Data!C5+1</f>
        <v>1</v>
      </c>
    </row>
    <row r="19" spans="1:2" x14ac:dyDescent="0.2">
      <c r="A19" t="s">
        <v>18</v>
      </c>
      <c r="B19">
        <f>"1/15/2024"+0</f>
        <v>45306</v>
      </c>
    </row>
    <row r="20" spans="1:2" x14ac:dyDescent="0.2">
      <c r="A20" t="s">
        <v>19</v>
      </c>
      <c r="B20">
        <f>"2024-01-15"+1</f>
        <v>45307</v>
      </c>
    </row>
    <row r="21" spans="1:2" x14ac:dyDescent="0.2">
      <c r="A21" t="s">
        <v>20</v>
      </c>
      <c r="B21" t="b">
        <f>0.1+0.2=0.3</f>
        <v>1</v>
      </c>
    </row>
    <row r="22" spans="1:2" x14ac:dyDescent="0.2">
      <c r="A22" t="s">
        <v>21</v>
      </c>
      <c r="B22" t="e">
        <f>9E+307*10</f>
        <v>#NUM!</v>
      </c>
    </row>
    <row r="23" spans="1:2" x14ac:dyDescent="0.2">
      <c r="A23" t="s">
        <v>22</v>
      </c>
      <c r="B23" t="e">
        <f>1/0</f>
        <v>#DIV/0!</v>
      </c>
    </row>
    <row r="24" spans="1:2" x14ac:dyDescent="0.2">
      <c r="A24" t="s">
        <v>23</v>
      </c>
      <c r="B24">
        <f>Data!C2+Data!C3</f>
        <v>3</v>
      </c>
    </row>
    <row r="25" spans="1:2" x14ac:dyDescent="0.2">
      <c r="A25" t="s">
        <v>24</v>
      </c>
      <c r="B25" t="e">
        <f>Data!C2+Data!C7</f>
        <v>#VALUE!</v>
      </c>
    </row>
    <row r="26" spans="1:2" x14ac:dyDescent="0.2">
      <c r="A26" t="s">
        <v>25</v>
      </c>
      <c r="B26" t="e">
        <f>"x"+1</f>
        <v>#VALUE!</v>
      </c>
    </row>
    <row r="27" spans="1:2" x14ac:dyDescent="0.2">
      <c r="A27" t="s">
        <v>26</v>
      </c>
      <c r="B27">
        <f>2^0.5</f>
        <v>1.4142135623730951</v>
      </c>
    </row>
    <row r="28" spans="1:2" x14ac:dyDescent="0.2">
      <c r="A28" t="s">
        <v>27</v>
      </c>
      <c r="B28" t="e">
        <f>Data!A2:A3*2</f>
        <v>#VALUE!</v>
      </c>
    </row>
    <row r="29" spans="1:2" x14ac:dyDescent="0.2">
      <c r="A29" t="s">
        <v>28</v>
      </c>
      <c r="B29">
        <f>SUM(Data!A2:A11)</f>
        <v>55</v>
      </c>
    </row>
    <row r="30" spans="1:2" x14ac:dyDescent="0.2">
      <c r="A30" t="s">
        <v>29</v>
      </c>
      <c r="B30">
        <f>SUM(Data!C2:C11)</f>
        <v>7.5</v>
      </c>
    </row>
    <row r="31" spans="1:2" x14ac:dyDescent="0.2">
      <c r="A31" t="s">
        <v>30</v>
      </c>
      <c r="B31">
        <f>SUM("2",3,TRUE)</f>
        <v>6</v>
      </c>
    </row>
    <row r="32" spans="1:2" x14ac:dyDescent="0.2">
      <c r="A32" t="s">
        <v>31</v>
      </c>
      <c r="B32">
        <f>SUM(Data!A2:A11,100)</f>
        <v>155</v>
      </c>
    </row>
    <row r="33" spans="1:2" x14ac:dyDescent="0.2">
      <c r="A33" t="s">
        <v>32</v>
      </c>
      <c r="B33">
        <f>SUM(Data!A:A)</f>
        <v>55</v>
      </c>
    </row>
    <row r="34" spans="1:2" x14ac:dyDescent="0.2">
      <c r="A34" t="s">
        <v>33</v>
      </c>
      <c r="B34">
        <f>SUM(Nums)</f>
        <v>55</v>
      </c>
    </row>
    <row r="35" spans="1:2" x14ac:dyDescent="0.2">
      <c r="A35" t="s">
        <v>34</v>
      </c>
      <c r="B35">
        <f>SUM(Data!A2:B11)</f>
        <v>55</v>
      </c>
    </row>
    <row r="36" spans="1:2" x14ac:dyDescent="0.2">
      <c r="A36" t="s">
        <v>35</v>
      </c>
      <c r="B36">
        <f>ROUND(2.345,2)</f>
        <v>2.35</v>
      </c>
    </row>
    <row r="37" spans="1:2" x14ac:dyDescent="0.2">
      <c r="A37" t="s">
        <v>36</v>
      </c>
      <c r="B37">
        <f>ROUND(-2.5,0)</f>
        <v>-3</v>
      </c>
    </row>
    <row r="38" spans="1:2" x14ac:dyDescent="0.2">
      <c r="A38" t="s">
        <v>37</v>
      </c>
      <c r="B38">
        <f>ROUND(1234.5,-2)</f>
        <v>1200</v>
      </c>
    </row>
    <row r="39" spans="1:2" x14ac:dyDescent="0.2">
      <c r="A39" t="s">
        <v>38</v>
      </c>
      <c r="B39">
        <f>ROUNDUP(2.341,2)</f>
        <v>2.3499999999999996</v>
      </c>
    </row>
    <row r="40" spans="1:2" x14ac:dyDescent="0.2">
      <c r="A40" t="s">
        <v>39</v>
      </c>
      <c r="B40">
        <f>ROUNDDOWN(-2.349,2)</f>
        <v>-2.34</v>
      </c>
    </row>
    <row r="41" spans="1:2" x14ac:dyDescent="0.2">
      <c r="A41" t="s">
        <v>40</v>
      </c>
      <c r="B41">
        <f>MROUND(17,5)</f>
        <v>15</v>
      </c>
    </row>
    <row r="42" spans="1:2" x14ac:dyDescent="0.2">
      <c r="A42" t="s">
        <v>41</v>
      </c>
      <c r="B42">
        <f>CEILING(4.2,1)</f>
        <v>5</v>
      </c>
    </row>
    <row r="43" spans="1:2" x14ac:dyDescent="0.2">
      <c r="A43" t="s">
        <v>42</v>
      </c>
      <c r="B43">
        <f>FLOOR(4.8,1)</f>
        <v>4</v>
      </c>
    </row>
    <row r="44" spans="1:2" x14ac:dyDescent="0.2">
      <c r="A44" t="s">
        <v>43</v>
      </c>
      <c r="B44">
        <f>_xlfn.CEILING.MATH(-4.2)</f>
        <v>-4</v>
      </c>
    </row>
    <row r="45" spans="1:2" x14ac:dyDescent="0.2">
      <c r="A45" t="s">
        <v>44</v>
      </c>
      <c r="B45">
        <f>_xlfn.FLOOR.MATH(-4.2)</f>
        <v>-5</v>
      </c>
    </row>
    <row r="46" spans="1:2" x14ac:dyDescent="0.2">
      <c r="A46" t="s">
        <v>45</v>
      </c>
      <c r="B46">
        <f>INT(-2.5)</f>
        <v>-3</v>
      </c>
    </row>
    <row r="47" spans="1:2" x14ac:dyDescent="0.2">
      <c r="A47" t="s">
        <v>46</v>
      </c>
      <c r="B47">
        <f>TRUNC(-2.5)</f>
        <v>-2</v>
      </c>
    </row>
    <row r="48" spans="1:2" x14ac:dyDescent="0.2">
      <c r="A48" t="s">
        <v>47</v>
      </c>
      <c r="B48">
        <f>MOD(-7,3)</f>
        <v>2</v>
      </c>
    </row>
    <row r="49" spans="1:2" x14ac:dyDescent="0.2">
      <c r="A49" t="s">
        <v>48</v>
      </c>
      <c r="B49">
        <f>MOD(7,-3)</f>
        <v>-2</v>
      </c>
    </row>
    <row r="50" spans="1:2" x14ac:dyDescent="0.2">
      <c r="A50" t="s">
        <v>49</v>
      </c>
      <c r="B50" t="e">
        <f>MOD(5,0)</f>
        <v>#DIV/0!</v>
      </c>
    </row>
    <row r="51" spans="1:2" x14ac:dyDescent="0.2">
      <c r="A51" t="s">
        <v>50</v>
      </c>
      <c r="B51">
        <f>ABS(-3)</f>
        <v>3</v>
      </c>
    </row>
    <row r="52" spans="1:2" x14ac:dyDescent="0.2">
      <c r="A52" t="s">
        <v>51</v>
      </c>
      <c r="B52">
        <f>SQRT(16)</f>
        <v>4</v>
      </c>
    </row>
    <row r="53" spans="1:2" x14ac:dyDescent="0.2">
      <c r="A53" t="s">
        <v>52</v>
      </c>
      <c r="B53" t="e">
        <f>SQRT(-1)</f>
        <v>#NUM!</v>
      </c>
    </row>
    <row r="54" spans="1:2" x14ac:dyDescent="0.2">
      <c r="A54" t="s">
        <v>53</v>
      </c>
      <c r="B54">
        <f>POWER(2,10)</f>
        <v>1024</v>
      </c>
    </row>
    <row r="55" spans="1:2" x14ac:dyDescent="0.2">
      <c r="A55" t="s">
        <v>54</v>
      </c>
      <c r="B55">
        <f>EXP(1)</f>
        <v>2.7182818284590451</v>
      </c>
    </row>
    <row r="56" spans="1:2" x14ac:dyDescent="0.2">
      <c r="A56" t="s">
        <v>55</v>
      </c>
      <c r="B56">
        <f>LN(10)</f>
        <v>2.3025850929940459</v>
      </c>
    </row>
    <row r="57" spans="1:2" x14ac:dyDescent="0.2">
      <c r="A57" t="s">
        <v>56</v>
      </c>
      <c r="B57">
        <f>LOG(100)</f>
        <v>2</v>
      </c>
    </row>
    <row r="58" spans="1:2" x14ac:dyDescent="0.2">
      <c r="A58" t="s">
        <v>57</v>
      </c>
      <c r="B58">
        <f>LOG(8,2)</f>
        <v>3</v>
      </c>
    </row>
    <row r="59" spans="1:2" x14ac:dyDescent="0.2">
      <c r="A59" t="s">
        <v>58</v>
      </c>
      <c r="B59">
        <f>LOG10(1000)</f>
        <v>3</v>
      </c>
    </row>
    <row r="60" spans="1:2" x14ac:dyDescent="0.2">
      <c r="A60" t="s">
        <v>59</v>
      </c>
      <c r="B60">
        <f>PI()</f>
        <v>3.1415926535897931</v>
      </c>
    </row>
    <row r="61" spans="1:2" x14ac:dyDescent="0.2">
      <c r="A61" t="s">
        <v>60</v>
      </c>
      <c r="B61">
        <f>SIGN(-4)</f>
        <v>-1</v>
      </c>
    </row>
    <row r="62" spans="1:2" x14ac:dyDescent="0.2">
      <c r="A62" t="s">
        <v>61</v>
      </c>
      <c r="B62">
        <f>PRODUCT(Data!A2:A5)</f>
        <v>120</v>
      </c>
    </row>
    <row r="63" spans="1:2" x14ac:dyDescent="0.2">
      <c r="A63" t="s">
        <v>62</v>
      </c>
      <c r="B63">
        <f>SUMPRODUCT(Data!G2:G11,Data!H2:H11)</f>
        <v>168.7</v>
      </c>
    </row>
    <row r="64" spans="1:2" x14ac:dyDescent="0.2">
      <c r="A64" t="s">
        <v>63</v>
      </c>
      <c r="B64">
        <f>SUMPRODUCT((Data!E2:E11="a")*Data!A2:A11)</f>
        <v>19</v>
      </c>
    </row>
    <row r="65" spans="1:2" x14ac:dyDescent="0.2">
      <c r="A65" t="s">
        <v>64</v>
      </c>
      <c r="B65">
        <f>SUMSQ(1,2,3)</f>
        <v>14</v>
      </c>
    </row>
    <row r="66" spans="1:2" x14ac:dyDescent="0.2">
      <c r="A66" t="s">
        <v>65</v>
      </c>
      <c r="B66">
        <f>QUOTIENT(-7,2)</f>
        <v>-3</v>
      </c>
    </row>
    <row r="67" spans="1:2" x14ac:dyDescent="0.2">
      <c r="A67" t="s">
        <v>66</v>
      </c>
      <c r="B67">
        <f>GCD(12,18)</f>
        <v>6</v>
      </c>
    </row>
    <row r="68" spans="1:2" x14ac:dyDescent="0.2">
      <c r="A68" t="s">
        <v>67</v>
      </c>
      <c r="B68">
        <f>LCM(4,6)</f>
        <v>12</v>
      </c>
    </row>
    <row r="69" spans="1:2" x14ac:dyDescent="0.2">
      <c r="A69" t="s">
        <v>68</v>
      </c>
      <c r="B69">
        <f>FACT(5)</f>
        <v>120</v>
      </c>
    </row>
    <row r="70" spans="1:2" x14ac:dyDescent="0.2">
      <c r="A70" t="s">
        <v>69</v>
      </c>
      <c r="B70">
        <f>COMBIN(5,2)</f>
        <v>10</v>
      </c>
    </row>
    <row r="71" spans="1:2" x14ac:dyDescent="0.2">
      <c r="A71" t="s">
        <v>70</v>
      </c>
      <c r="B71">
        <f>PERMUT(5,2)</f>
        <v>20</v>
      </c>
    </row>
    <row r="72" spans="1:2" x14ac:dyDescent="0.2">
      <c r="A72" t="s">
        <v>71</v>
      </c>
      <c r="B72">
        <f>EVEN(3)</f>
        <v>4</v>
      </c>
    </row>
    <row r="73" spans="1:2" x14ac:dyDescent="0.2">
      <c r="A73" t="s">
        <v>72</v>
      </c>
      <c r="B73">
        <f>ODD(-2)</f>
        <v>-3</v>
      </c>
    </row>
    <row r="74" spans="1:2" x14ac:dyDescent="0.2">
      <c r="A74" t="s">
        <v>73</v>
      </c>
      <c r="B74" t="str">
        <f>ROMAN(1999)</f>
        <v>MCMXCIX</v>
      </c>
    </row>
    <row r="75" spans="1:2" x14ac:dyDescent="0.2">
      <c r="A75" t="s">
        <v>74</v>
      </c>
      <c r="B75">
        <f>_xlfn.ARABIC("MCMXCIX")</f>
        <v>1999</v>
      </c>
    </row>
    <row r="76" spans="1:2" x14ac:dyDescent="0.2">
      <c r="A76" t="s">
        <v>75</v>
      </c>
      <c r="B76" t="str">
        <f>_xlfn.BASE(255,16)</f>
        <v>FF</v>
      </c>
    </row>
    <row r="77" spans="1:2" x14ac:dyDescent="0.2">
      <c r="A77" t="s">
        <v>76</v>
      </c>
      <c r="B77">
        <f>_xlfn.DECIMAL("FF",16)</f>
        <v>255</v>
      </c>
    </row>
    <row r="78" spans="1:2" x14ac:dyDescent="0.2">
      <c r="A78" t="s">
        <v>77</v>
      </c>
      <c r="B78">
        <f>SUMIF(Data!A2:A11,"&gt;5")</f>
        <v>40</v>
      </c>
    </row>
    <row r="79" spans="1:2" x14ac:dyDescent="0.2">
      <c r="A79" t="s">
        <v>78</v>
      </c>
      <c r="B79">
        <f>SUMIF(Data!E2:E11,"a",Data!A2:A11)</f>
        <v>19</v>
      </c>
    </row>
    <row r="80" spans="1:2" x14ac:dyDescent="0.2">
      <c r="A80" t="s">
        <v>79</v>
      </c>
      <c r="B80">
        <f>SUMIF(Data!B2:B11,"*e*",Data!A2:A11)</f>
        <v>44</v>
      </c>
    </row>
    <row r="81" spans="1:2" x14ac:dyDescent="0.2">
      <c r="A81" t="s">
        <v>80</v>
      </c>
      <c r="B81">
        <f>SUMIF(Data!C2:C11,"&lt;&gt;2")</f>
        <v>7.5</v>
      </c>
    </row>
    <row r="82" spans="1:2" x14ac:dyDescent="0.2">
      <c r="A82" t="s">
        <v>81</v>
      </c>
      <c r="B82">
        <f>SUMIFS(Data!A2:A11,Data!E2:E11,"b",Data!A2:A11,"&gt;=6")</f>
        <v>15</v>
      </c>
    </row>
    <row r="83" spans="1:2" x14ac:dyDescent="0.2">
      <c r="A83" t="s">
        <v>82</v>
      </c>
      <c r="B83">
        <f>COUNTIF(Data!C2:C11,"")</f>
        <v>1</v>
      </c>
    </row>
    <row r="84" spans="1:2" x14ac:dyDescent="0.2">
      <c r="A84" t="s">
        <v>83</v>
      </c>
      <c r="B84">
        <f>COUNTIF(Data!C2:C11,"=")</f>
        <v>1</v>
      </c>
    </row>
    <row r="85" spans="1:2" x14ac:dyDescent="0.2">
      <c r="A85" t="s">
        <v>84</v>
      </c>
      <c r="B85">
        <f>COUNTIF(Data!C2:C11,"&lt;&gt;")</f>
        <v>9</v>
      </c>
    </row>
    <row r="86" spans="1:2" x14ac:dyDescent="0.2">
      <c r="A86" t="s">
        <v>85</v>
      </c>
      <c r="B86">
        <f>COUNTIF(Data!B2:B11,"?ig")</f>
        <v>1</v>
      </c>
    </row>
    <row r="87" spans="1:2" x14ac:dyDescent="0.2">
      <c r="A87" t="s">
        <v>86</v>
      </c>
      <c r="B87">
        <f>COUNTIF(Data!A2:A11,5)</f>
        <v>1</v>
      </c>
    </row>
    <row r="88" spans="1:2" x14ac:dyDescent="0.2">
      <c r="A88" t="s">
        <v>87</v>
      </c>
      <c r="B88">
        <f>COUNTIF(Data!C2:C11,"2")</f>
        <v>1</v>
      </c>
    </row>
    <row r="89" spans="1:2" x14ac:dyDescent="0.2">
      <c r="A89" t="s">
        <v>88</v>
      </c>
      <c r="B89">
        <f>COUNTIFS(Data!E2:E11,"a",Data!A2:A11,"&lt;5")</f>
        <v>2</v>
      </c>
    </row>
    <row r="90" spans="1:2" x14ac:dyDescent="0.2">
      <c r="A90" t="s">
        <v>89</v>
      </c>
      <c r="B90">
        <f>AVERAGEIF(Data!E2:E11,"c",Data!A2:A11)</f>
        <v>6</v>
      </c>
    </row>
    <row r="91" spans="1:2" x14ac:dyDescent="0.2">
      <c r="A91" t="s">
        <v>90</v>
      </c>
      <c r="B91">
        <f>AVERAGEIFS(Data!A2:A11,Data!E2:E11,"a")</f>
        <v>4.75</v>
      </c>
    </row>
    <row r="92" spans="1:2" x14ac:dyDescent="0.2">
      <c r="A92" t="s">
        <v>91</v>
      </c>
      <c r="B92">
        <f>_xlfn.MAXIFS(Data!A2:A11,Data!E2:E11,"b")</f>
        <v>9</v>
      </c>
    </row>
    <row r="93" spans="1:2" x14ac:dyDescent="0.2">
      <c r="A93" t="s">
        <v>92</v>
      </c>
      <c r="B93">
        <f>_xlfn.MINIFS(Data!A2:A11,Data!E2:E11,"b")</f>
        <v>3</v>
      </c>
    </row>
    <row r="94" spans="1:2" x14ac:dyDescent="0.2">
      <c r="A94" t="s">
        <v>93</v>
      </c>
      <c r="B94">
        <f>SUBTOTAL(9,Data!A2:A11)</f>
        <v>55</v>
      </c>
    </row>
    <row r="95" spans="1:2" x14ac:dyDescent="0.2">
      <c r="A95" t="s">
        <v>94</v>
      </c>
      <c r="B95">
        <f>SUBTOTAL(1,Data!A2:A11)</f>
        <v>5.5</v>
      </c>
    </row>
    <row r="96" spans="1:2" x14ac:dyDescent="0.2">
      <c r="A96" t="s">
        <v>95</v>
      </c>
      <c r="B96">
        <f>_xlfn.AGGREGATE(9,6,Data!A2:A11)</f>
        <v>55</v>
      </c>
    </row>
    <row r="97" spans="1:2" x14ac:dyDescent="0.2">
      <c r="A97" t="s">
        <v>96</v>
      </c>
      <c r="B97">
        <f>AVERAGE(Data!A2:A11)</f>
        <v>5.5</v>
      </c>
    </row>
    <row r="98" spans="1:2" x14ac:dyDescent="0.2">
      <c r="A98" t="s">
        <v>97</v>
      </c>
      <c r="B98">
        <f>AVERAGE(Data!C2:C11)</f>
        <v>1.5</v>
      </c>
    </row>
    <row r="99" spans="1:2" x14ac:dyDescent="0.2">
      <c r="A99" t="s">
        <v>98</v>
      </c>
      <c r="B99">
        <f>AVERAGEA(Data!C2:C11)</f>
        <v>0.94444444444444442</v>
      </c>
    </row>
    <row r="100" spans="1:2" x14ac:dyDescent="0.2">
      <c r="A100" t="s">
        <v>99</v>
      </c>
      <c r="B100">
        <f>AVERAGE(1,"2",TRUE)</f>
        <v>1.3333333333333333</v>
      </c>
    </row>
    <row r="101" spans="1:2" x14ac:dyDescent="0.2">
      <c r="A101" t="s">
        <v>100</v>
      </c>
      <c r="B101">
        <f>COUNT(Data!C2:C11)</f>
        <v>5</v>
      </c>
    </row>
    <row r="102" spans="1:2" x14ac:dyDescent="0.2">
      <c r="A102" t="s">
        <v>101</v>
      </c>
      <c r="B102">
        <f>COUNTA(Data!C2:C11)</f>
        <v>9</v>
      </c>
    </row>
    <row r="103" spans="1:2" x14ac:dyDescent="0.2">
      <c r="A103" t="s">
        <v>102</v>
      </c>
      <c r="B103">
        <f>COUNTBLANK(Data!C2:C11)</f>
        <v>1</v>
      </c>
    </row>
    <row r="104" spans="1:2" x14ac:dyDescent="0.2">
      <c r="A104" t="s">
        <v>103</v>
      </c>
      <c r="B104">
        <f>COUNT(1,"2",TRUE,"x")</f>
        <v>3</v>
      </c>
    </row>
    <row r="105" spans="1:2" x14ac:dyDescent="0.2">
      <c r="A105" t="s">
        <v>104</v>
      </c>
      <c r="B105">
        <f>MAX(Data!A2:A11)</f>
        <v>10</v>
      </c>
    </row>
    <row r="106" spans="1:2" x14ac:dyDescent="0.2">
      <c r="A106" t="s">
        <v>105</v>
      </c>
      <c r="B106">
        <f>MIN(Data!C2:C11)</f>
        <v>-2</v>
      </c>
    </row>
    <row r="107" spans="1:2" x14ac:dyDescent="0.2">
      <c r="A107" t="s">
        <v>106</v>
      </c>
      <c r="B107">
        <f>MAXA(Data!C2:C11)</f>
        <v>5</v>
      </c>
    </row>
    <row r="108" spans="1:2" x14ac:dyDescent="0.2">
      <c r="A108" t="s">
        <v>107</v>
      </c>
      <c r="B108">
        <f>MEDIAN(Data!A2:A11)</f>
        <v>5.5</v>
      </c>
    </row>
    <row r="109" spans="1:2" x14ac:dyDescent="0.2">
      <c r="A109" t="s">
        <v>108</v>
      </c>
      <c r="B109">
        <f>_xlfn.MODE.SNGL(1,2,2,3)</f>
        <v>2</v>
      </c>
    </row>
    <row r="110" spans="1:2" x14ac:dyDescent="0.2">
      <c r="A110" t="s">
        <v>109</v>
      </c>
      <c r="B110">
        <f>_xlfn.STDEV.S(Data!A2:A11)</f>
        <v>3.0276503540974917</v>
      </c>
    </row>
    <row r="111" spans="1:2" x14ac:dyDescent="0.2">
      <c r="A111" t="s">
        <v>110</v>
      </c>
      <c r="B111">
        <f>_xlfn.STDEV.P(Data!A2:A11)</f>
        <v>2.8722813232690143</v>
      </c>
    </row>
    <row r="112" spans="1:2" x14ac:dyDescent="0.2">
      <c r="A112" t="s">
        <v>111</v>
      </c>
      <c r="B112">
        <f>_xlfn.VAR.S(Data!A2:A11)</f>
        <v>9.1666666666666661</v>
      </c>
    </row>
    <row r="113" spans="1:2" x14ac:dyDescent="0.2">
      <c r="A113" t="s">
        <v>112</v>
      </c>
      <c r="B113">
        <f>_xlfn.VAR.P(Data!A2:A11)</f>
        <v>8.25</v>
      </c>
    </row>
    <row r="114" spans="1:2" x14ac:dyDescent="0.2">
      <c r="A114" t="s">
        <v>113</v>
      </c>
      <c r="B114">
        <f>LARGE(Data!A2:A11,2)</f>
        <v>9</v>
      </c>
    </row>
    <row r="115" spans="1:2" x14ac:dyDescent="0.2">
      <c r="A115" t="s">
        <v>114</v>
      </c>
      <c r="B115">
        <f>SMALL(Data!A2:A11,3)</f>
        <v>3</v>
      </c>
    </row>
    <row r="116" spans="1:2" x14ac:dyDescent="0.2">
      <c r="A116" t="s">
        <v>115</v>
      </c>
      <c r="B116">
        <f>_xlfn.RANK.EQ(7,Data!A2:A11)</f>
        <v>4</v>
      </c>
    </row>
    <row r="117" spans="1:2" x14ac:dyDescent="0.2">
      <c r="A117" t="s">
        <v>116</v>
      </c>
      <c r="B117">
        <f>_xlfn.RANK.EQ(7,Data!A2:A11,1)</f>
        <v>7</v>
      </c>
    </row>
    <row r="118" spans="1:2" x14ac:dyDescent="0.2">
      <c r="A118" t="s">
        <v>117</v>
      </c>
      <c r="B118">
        <f>_xlfn.PERCENTILE.INC(Data!A2:A11,0.3)</f>
        <v>3.6999999999999997</v>
      </c>
    </row>
    <row r="119" spans="1:2" x14ac:dyDescent="0.2">
      <c r="A119" t="s">
        <v>118</v>
      </c>
      <c r="B119">
        <f>_xlfn.PERCENTILE.EXC(Data!A2:A11,0.3)</f>
        <v>3.3</v>
      </c>
    </row>
    <row r="120" spans="1:2" x14ac:dyDescent="0.2">
      <c r="A120" t="s">
        <v>119</v>
      </c>
      <c r="B120">
        <f>_xlfn.QUARTILE.INC(Data!A2:A11,1)</f>
        <v>3.25</v>
      </c>
    </row>
    <row r="121" spans="1:2" x14ac:dyDescent="0.2">
      <c r="A121" t="s">
        <v>120</v>
      </c>
      <c r="B121">
        <f>CORREL(Data!A2:A11,Data!F2:F11)</f>
        <v>0.34545454545454546</v>
      </c>
    </row>
    <row r="122" spans="1:2" x14ac:dyDescent="0.2">
      <c r="A122" t="s">
        <v>121</v>
      </c>
      <c r="B122">
        <f>_xlfn.FORECAST.LINEAR(11,Data!F2:F11,Data!A2:A11)</f>
        <v>74</v>
      </c>
    </row>
    <row r="123" spans="1:2" x14ac:dyDescent="0.2">
      <c r="A123" t="s">
        <v>122</v>
      </c>
      <c r="B123">
        <f>SLOPE(Data!F2:F11,Data!A2:A11)</f>
        <v>3.4545454545454546</v>
      </c>
    </row>
    <row r="124" spans="1:2" x14ac:dyDescent="0.2">
      <c r="A124" t="s">
        <v>123</v>
      </c>
      <c r="B124">
        <f>INTERCEPT(Data!F2:F11,Data!A2:A11)</f>
        <v>36</v>
      </c>
    </row>
    <row r="125" spans="1:2" x14ac:dyDescent="0.2">
      <c r="A125" t="s">
        <v>124</v>
      </c>
      <c r="B125">
        <f>_xlfn.NORM.DIST(1,0,1,TRUE)</f>
        <v>0.84134474606854304</v>
      </c>
    </row>
    <row r="126" spans="1:2" x14ac:dyDescent="0.2">
      <c r="A126" t="s">
        <v>125</v>
      </c>
      <c r="B126">
        <f>_xlfn.NORM.S.INV(0.975)</f>
        <v>1.9599639845400536</v>
      </c>
    </row>
    <row r="127" spans="1:2" x14ac:dyDescent="0.2">
      <c r="A127" t="s">
        <v>126</v>
      </c>
      <c r="B127">
        <f>GEOMEAN(Data!A2:A11)</f>
        <v>4.5287286881167645</v>
      </c>
    </row>
    <row r="128" spans="1:2" x14ac:dyDescent="0.2">
      <c r="A128" t="s">
        <v>127</v>
      </c>
      <c r="B128" t="e">
        <f>AVERAGE(Data!C5)</f>
        <v>#DIV/0!</v>
      </c>
    </row>
    <row r="129" spans="1:2" x14ac:dyDescent="0.2">
      <c r="A129" t="s">
        <v>128</v>
      </c>
      <c r="B129" t="str">
        <f>LEFT("Hello",2)</f>
        <v>He</v>
      </c>
    </row>
    <row r="130" spans="1:2" x14ac:dyDescent="0.2">
      <c r="A130" t="s">
        <v>129</v>
      </c>
      <c r="B130" t="str">
        <f>RIGHT("Hello",3)</f>
        <v>llo</v>
      </c>
    </row>
    <row r="131" spans="1:2" x14ac:dyDescent="0.2">
      <c r="A131" t="s">
        <v>130</v>
      </c>
      <c r="B131" t="str">
        <f>MID("Hello",2,3)</f>
        <v>ell</v>
      </c>
    </row>
    <row r="132" spans="1:2" x14ac:dyDescent="0.2">
      <c r="A132" t="s">
        <v>131</v>
      </c>
      <c r="B132">
        <f>LEN("Héllo")</f>
        <v>5</v>
      </c>
    </row>
    <row r="133" spans="1:2" x14ac:dyDescent="0.2">
      <c r="A133" t="s">
        <v>132</v>
      </c>
      <c r="B133" t="str">
        <f>UPPER("abc")</f>
        <v>ABC</v>
      </c>
    </row>
    <row r="134" spans="1:2" x14ac:dyDescent="0.2">
      <c r="A134" t="s">
        <v>133</v>
      </c>
      <c r="B134" t="str">
        <f>LOWER("ABC")</f>
        <v>abc</v>
      </c>
    </row>
    <row r="135" spans="1:2" x14ac:dyDescent="0.2">
      <c r="A135" t="s">
        <v>134</v>
      </c>
      <c r="B135" t="str">
        <f>PROPER("hello wORLD o'neil")</f>
        <v>Hello World O'Neil</v>
      </c>
    </row>
    <row r="136" spans="1:2" x14ac:dyDescent="0.2">
      <c r="A136" t="s">
        <v>135</v>
      </c>
      <c r="B136" t="str">
        <f>TRIM("  a   b  ")</f>
        <v>a b</v>
      </c>
    </row>
    <row r="137" spans="1:2" x14ac:dyDescent="0.2">
      <c r="A137" t="s">
        <v>136</v>
      </c>
      <c r="B137" t="str">
        <f>SUBSTITUTE("a-b-c","-","+")</f>
        <v>a+b+c</v>
      </c>
    </row>
    <row r="138" spans="1:2" x14ac:dyDescent="0.2">
      <c r="A138" t="s">
        <v>137</v>
      </c>
      <c r="B138" t="str">
        <f>SUBSTITUTE("a-b-c","-","+",2)</f>
        <v>a-b+c</v>
      </c>
    </row>
    <row r="139" spans="1:2" x14ac:dyDescent="0.2">
      <c r="A139" t="s">
        <v>138</v>
      </c>
      <c r="B139" t="str">
        <f>REPLACE("abcdef",2,3,"X")</f>
        <v>aXef</v>
      </c>
    </row>
    <row r="140" spans="1:2" x14ac:dyDescent="0.2">
      <c r="A140" t="s">
        <v>139</v>
      </c>
      <c r="B140">
        <f>FIND("b","abcB")</f>
        <v>2</v>
      </c>
    </row>
    <row r="141" spans="1:2" x14ac:dyDescent="0.2">
      <c r="A141" t="s">
        <v>140</v>
      </c>
      <c r="B141" t="e">
        <f>FIND("z","abc")</f>
        <v>#VALUE!</v>
      </c>
    </row>
    <row r="142" spans="1:2" x14ac:dyDescent="0.2">
      <c r="A142" t="s">
        <v>141</v>
      </c>
      <c r="B142">
        <f>SEARCH("B","abcB")</f>
        <v>2</v>
      </c>
    </row>
    <row r="143" spans="1:2" x14ac:dyDescent="0.2">
      <c r="A143" t="s">
        <v>142</v>
      </c>
      <c r="B143">
        <f>SEARCH("c?e","abcdef")</f>
        <v>3</v>
      </c>
    </row>
    <row r="144" spans="1:2" x14ac:dyDescent="0.2">
      <c r="A144" t="s">
        <v>143</v>
      </c>
      <c r="B144" t="str">
        <f>TEXT(1234.567,"#,##0.00")</f>
        <v>1,234.57</v>
      </c>
    </row>
    <row r="145" spans="1:2" x14ac:dyDescent="0.2">
      <c r="A145" t="s">
        <v>144</v>
      </c>
      <c r="B145" t="str">
        <f>TEXT(0.256,"0.0%")</f>
        <v>25.6%</v>
      </c>
    </row>
    <row r="146" spans="1:2" x14ac:dyDescent="0.2">
      <c r="A146" t="s">
        <v>145</v>
      </c>
      <c r="B146" t="str">
        <f>TEXT(45292,"yyyy-mm-dd")</f>
        <v>2024-01-01</v>
      </c>
    </row>
    <row r="147" spans="1:2" x14ac:dyDescent="0.2">
      <c r="A147" t="s">
        <v>146</v>
      </c>
      <c r="B147" t="str">
        <f>TEXT(45292,"mmm d, yyyy")</f>
        <v>Jan 1, 2024</v>
      </c>
    </row>
    <row r="148" spans="1:2" x14ac:dyDescent="0.2">
      <c r="A148" t="s">
        <v>147</v>
      </c>
      <c r="B148" t="str">
        <f>TEXT(45292,"dddd")</f>
        <v>Monday</v>
      </c>
    </row>
    <row r="149" spans="1:2" x14ac:dyDescent="0.2">
      <c r="A149" t="s">
        <v>148</v>
      </c>
      <c r="B149" t="str">
        <f>TEXT(-1234.5,"$#,##0.00")</f>
        <v>-$1,234.50</v>
      </c>
    </row>
    <row r="150" spans="1:2" x14ac:dyDescent="0.2">
      <c r="A150" t="s">
        <v>149</v>
      </c>
      <c r="B150" t="str">
        <f>TEXT(5,"000")</f>
        <v>005</v>
      </c>
    </row>
    <row r="151" spans="1:2" x14ac:dyDescent="0.2">
      <c r="A151" t="s">
        <v>150</v>
      </c>
      <c r="B151">
        <f>VALUE("12.5")</f>
        <v>12.5</v>
      </c>
    </row>
    <row r="152" spans="1:2" x14ac:dyDescent="0.2">
      <c r="A152" t="s">
        <v>151</v>
      </c>
      <c r="B152">
        <f>VALUE("1,234")</f>
        <v>1234</v>
      </c>
    </row>
    <row r="153" spans="1:2" x14ac:dyDescent="0.2">
      <c r="A153" t="s">
        <v>152</v>
      </c>
      <c r="B153" t="e">
        <f>VALUE("abc")</f>
        <v>#VALUE!</v>
      </c>
    </row>
    <row r="154" spans="1:2" x14ac:dyDescent="0.2">
      <c r="A154" t="s">
        <v>153</v>
      </c>
      <c r="B154" t="str">
        <f>_xlfn.CONCAT(Data!E2:E5)</f>
        <v>abac</v>
      </c>
    </row>
    <row r="155" spans="1:2" x14ac:dyDescent="0.2">
      <c r="A155" t="s">
        <v>154</v>
      </c>
      <c r="B155" t="str">
        <f>CONCATENATE("a",1,TRUE)</f>
        <v>a1TRUE</v>
      </c>
    </row>
    <row r="156" spans="1:2" x14ac:dyDescent="0.2">
      <c r="A156" t="s">
        <v>155</v>
      </c>
      <c r="B156" t="str">
        <f>_xlfn.TEXTJOIN(", ",TRUE,Data!C2:C6)</f>
        <v>1, 2, TRUE, 5</v>
      </c>
    </row>
    <row r="157" spans="1:2" x14ac:dyDescent="0.2">
      <c r="A157" t="s">
        <v>156</v>
      </c>
      <c r="B157" t="str">
        <f>_xlfn.TEXTJOIN("-",FALSE,"a","","b")</f>
        <v>a--b</v>
      </c>
    </row>
    <row r="158" spans="1:2" x14ac:dyDescent="0.2">
      <c r="A158" t="s">
        <v>157</v>
      </c>
      <c r="B158" t="str">
        <f>REPT("ab",3)</f>
        <v>ababab</v>
      </c>
    </row>
    <row r="159" spans="1:2" x14ac:dyDescent="0.2">
      <c r="A159" t="s">
        <v>158</v>
      </c>
      <c r="B159" t="b">
        <f>EXACT("a","A")</f>
        <v>0</v>
      </c>
    </row>
    <row r="160" spans="1:2" x14ac:dyDescent="0.2">
      <c r="A160" t="s">
        <v>159</v>
      </c>
      <c r="B160" t="str">
        <f>CHAR(65)</f>
        <v>A</v>
      </c>
    </row>
    <row r="161" spans="1:2" x14ac:dyDescent="0.2">
      <c r="A161" t="s">
        <v>160</v>
      </c>
      <c r="B161">
        <f>CODE("A")</f>
        <v>65</v>
      </c>
    </row>
    <row r="162" spans="1:2" x14ac:dyDescent="0.2">
      <c r="A162" t="s">
        <v>161</v>
      </c>
      <c r="B162" t="str">
        <f>CLEAN("a"&amp;CHAR(7)&amp;"b")</f>
        <v>ab</v>
      </c>
    </row>
    <row r="163" spans="1:2" x14ac:dyDescent="0.2">
      <c r="A163" t="s">
        <v>162</v>
      </c>
      <c r="B163" t="str">
        <f>FIXED(1234.567,1)</f>
        <v>1,234.6</v>
      </c>
    </row>
    <row r="164" spans="1:2" x14ac:dyDescent="0.2">
      <c r="A164" t="s">
        <v>163</v>
      </c>
      <c r="B164" t="str">
        <f>DOLLAR(1234.567)</f>
        <v>$1,234.57</v>
      </c>
    </row>
    <row r="165" spans="1:2" x14ac:dyDescent="0.2">
      <c r="A165" t="s">
        <v>164</v>
      </c>
      <c r="B165">
        <f>_xlfn.NUMBERVALUE("1.234,5",",",".")</f>
        <v>1234.5</v>
      </c>
    </row>
    <row r="166" spans="1:2" x14ac:dyDescent="0.2">
      <c r="A166" t="s">
        <v>165</v>
      </c>
      <c r="B166" t="str">
        <f>T(123)</f>
        <v/>
      </c>
    </row>
    <row r="167" spans="1:2" x14ac:dyDescent="0.2">
      <c r="A167" t="s">
        <v>166</v>
      </c>
      <c r="B167" t="str">
        <f>T("abc")</f>
        <v>abc</v>
      </c>
    </row>
    <row r="168" spans="1:2" x14ac:dyDescent="0.2">
      <c r="A168" t="s">
        <v>167</v>
      </c>
      <c r="B168">
        <f>N(TRUE)</f>
        <v>1</v>
      </c>
    </row>
    <row r="169" spans="1:2" x14ac:dyDescent="0.2">
      <c r="A169" t="s">
        <v>168</v>
      </c>
      <c r="B169">
        <f>N("abc")</f>
        <v>0</v>
      </c>
    </row>
    <row r="170" spans="1:2" x14ac:dyDescent="0.2">
      <c r="A170" t="s">
        <v>169</v>
      </c>
      <c r="B170" t="str">
        <f>_xlfn.TEXTBEFORE("a-b-c","-")</f>
        <v>a</v>
      </c>
    </row>
    <row r="171" spans="1:2" x14ac:dyDescent="0.2">
      <c r="A171" t="s">
        <v>170</v>
      </c>
      <c r="B171" t="str">
        <f>_xlfn.TEXTAFTER("a-b-c","-",2)</f>
        <v>c</v>
      </c>
    </row>
    <row r="172" spans="1:2" x14ac:dyDescent="0.2">
      <c r="A172" t="s">
        <v>171</v>
      </c>
      <c r="B172" t="str">
        <f>LEFT(Data!B3)</f>
        <v>B</v>
      </c>
    </row>
    <row r="173" spans="1:2" x14ac:dyDescent="0.2">
      <c r="A173" t="s">
        <v>172</v>
      </c>
      <c r="B173">
        <f>LEN(Data!A2)</f>
        <v>1</v>
      </c>
    </row>
    <row r="174" spans="1:2" x14ac:dyDescent="0.2">
      <c r="A174" t="s">
        <v>173</v>
      </c>
      <c r="B174" t="str">
        <f>Data!B2&amp;" x"&amp;Data!A2</f>
        <v>apple x5</v>
      </c>
    </row>
    <row r="175" spans="1:2" x14ac:dyDescent="0.2">
      <c r="A175" t="s">
        <v>174</v>
      </c>
      <c r="B175" t="str">
        <f>IF(Data!A2&gt;4,"big","small")</f>
        <v>big</v>
      </c>
    </row>
    <row r="176" spans="1:2" x14ac:dyDescent="0.2">
      <c r="A176" t="s">
        <v>175</v>
      </c>
      <c r="B176" t="str">
        <f>IF(Data!C5,"yes","no")</f>
        <v>no</v>
      </c>
    </row>
    <row r="177" spans="1:2" x14ac:dyDescent="0.2">
      <c r="A177" t="s">
        <v>176</v>
      </c>
      <c r="B177">
        <f>IF("TRUE",1,2)</f>
        <v>1</v>
      </c>
    </row>
    <row r="178" spans="1:2" x14ac:dyDescent="0.2">
      <c r="A178" t="s">
        <v>177</v>
      </c>
      <c r="B178" t="str">
        <f>IF(1,"one")</f>
        <v>one</v>
      </c>
    </row>
    <row r="179" spans="1:2" x14ac:dyDescent="0.2">
      <c r="A179" t="s">
        <v>178</v>
      </c>
      <c r="B179" t="b">
        <f>IF(0,"one")</f>
        <v>0</v>
      </c>
    </row>
    <row r="180" spans="1:2" x14ac:dyDescent="0.2">
      <c r="A180" t="s">
        <v>179</v>
      </c>
      <c r="B180" t="str">
        <f>_xlfn.IFS(Data!A2&gt;8,"a",Data!A2&gt;4,"b",TRUE,"c")</f>
        <v>b</v>
      </c>
    </row>
    <row r="181" spans="1:2" x14ac:dyDescent="0.2">
      <c r="A181" t="s">
        <v>180</v>
      </c>
      <c r="B181" t="e">
        <f>_xlfn.IFS(FALSE,1)</f>
        <v>#N/A</v>
      </c>
    </row>
    <row r="182" spans="1:2" x14ac:dyDescent="0.2">
      <c r="A182" t="s">
        <v>181</v>
      </c>
      <c r="B182" t="b">
        <f>AND(TRUE,1,Data!C2:C11)</f>
        <v>0</v>
      </c>
    </row>
    <row r="183" spans="1:2" x14ac:dyDescent="0.2">
      <c r="A183" t="s">
        <v>182</v>
      </c>
      <c r="B183" t="e">
        <f>AND(Data!B2:B3)</f>
        <v>#VALUE!</v>
      </c>
    </row>
    <row r="184" spans="1:2" x14ac:dyDescent="0.2">
      <c r="A184" t="s">
        <v>183</v>
      </c>
      <c r="B184" t="b">
        <f>OR(FALSE,0)</f>
        <v>0</v>
      </c>
    </row>
    <row r="185" spans="1:2" x14ac:dyDescent="0.2">
      <c r="A185" t="s">
        <v>184</v>
      </c>
      <c r="B185" t="b">
        <f>_xlfn.XOR(TRUE,TRUE,TRUE)</f>
        <v>1</v>
      </c>
    </row>
    <row r="186" spans="1:2" x14ac:dyDescent="0.2">
      <c r="A186" t="s">
        <v>185</v>
      </c>
      <c r="B186" t="b">
        <f>NOT(0)</f>
        <v>1</v>
      </c>
    </row>
    <row r="187" spans="1:2" x14ac:dyDescent="0.2">
      <c r="A187" t="s">
        <v>186</v>
      </c>
      <c r="B187" t="str">
        <f>IFERROR(1/0,"div")</f>
        <v>div</v>
      </c>
    </row>
    <row r="188" spans="1:2" x14ac:dyDescent="0.2">
      <c r="A188" t="s">
        <v>187</v>
      </c>
      <c r="B188" t="str">
        <f>IFERROR(NA(),"na")</f>
        <v>na</v>
      </c>
    </row>
    <row r="189" spans="1:2" x14ac:dyDescent="0.2">
      <c r="A189" t="s">
        <v>188</v>
      </c>
      <c r="B189" t="str">
        <f>_xlfn.IFNA(NA(),"na")</f>
        <v>na</v>
      </c>
    </row>
    <row r="190" spans="1:2" x14ac:dyDescent="0.2">
      <c r="A190" t="s">
        <v>189</v>
      </c>
      <c r="B190" t="e">
        <f>_xlfn.IFNA(1/0,"na")</f>
        <v>#DIV/0!</v>
      </c>
    </row>
    <row r="191" spans="1:2" x14ac:dyDescent="0.2">
      <c r="A191" t="s">
        <v>190</v>
      </c>
      <c r="B191" t="str">
        <f>_xlfn.SWITCH(2,1,"one",2,"two","other")</f>
        <v>two</v>
      </c>
    </row>
    <row r="192" spans="1:2" x14ac:dyDescent="0.2">
      <c r="A192" t="s">
        <v>191</v>
      </c>
      <c r="B192" t="e">
        <f>_xlfn.SWITCH(9,1,"one")</f>
        <v>#N/A</v>
      </c>
    </row>
    <row r="193" spans="1:2" x14ac:dyDescent="0.2">
      <c r="A193" t="s">
        <v>192</v>
      </c>
      <c r="B193" t="str">
        <f>CHOOSE(3,"a","b","c")</f>
        <v>c</v>
      </c>
    </row>
    <row r="194" spans="1:2" x14ac:dyDescent="0.2">
      <c r="A194" t="s">
        <v>193</v>
      </c>
      <c r="B194" t="e">
        <f>CHOOSE(4,"a","b","c")</f>
        <v>#VALUE!</v>
      </c>
    </row>
    <row r="195" spans="1:2" x14ac:dyDescent="0.2">
      <c r="A195" t="s">
        <v>194</v>
      </c>
      <c r="B195" t="b">
        <f>TRUE()</f>
        <v>1</v>
      </c>
    </row>
    <row r="196" spans="1:2" x14ac:dyDescent="0.2">
      <c r="A196" t="s">
        <v>195</v>
      </c>
      <c r="B196">
        <f>IF(Data!A2&gt;4,Data!A2*2,1/0)</f>
        <v>10</v>
      </c>
    </row>
    <row r="197" spans="1:2" x14ac:dyDescent="0.2">
      <c r="A197" t="s">
        <v>196</v>
      </c>
      <c r="B197" t="str">
        <f>VLOOKUP("fig",Data!B2:C11,2,FALSE)</f>
        <v>x</v>
      </c>
    </row>
    <row r="198" spans="1:2" x14ac:dyDescent="0.2">
      <c r="A198" t="s">
        <v>197</v>
      </c>
      <c r="B198">
        <f>VLOOKUP("FIG",Data!B2:D11,3,FALSE)</f>
        <v>45477</v>
      </c>
    </row>
    <row r="199" spans="1:2" x14ac:dyDescent="0.2">
      <c r="A199" t="s">
        <v>198</v>
      </c>
      <c r="B199" t="e">
        <f>VLOOKUP("zzz",Data!B2:C11,2,FALSE)</f>
        <v>#N/A</v>
      </c>
    </row>
    <row r="200" spans="1:2" x14ac:dyDescent="0.2">
      <c r="A200" t="s">
        <v>199</v>
      </c>
      <c r="B200">
        <f>VLOOKUP(45,Data!F2:G11,2,TRUE)</f>
        <v>2</v>
      </c>
    </row>
    <row r="201" spans="1:2" x14ac:dyDescent="0.2">
      <c r="A201" t="s">
        <v>200</v>
      </c>
      <c r="B201">
        <f>VLOOKUP(45,Data!F2:G11,2)</f>
        <v>2</v>
      </c>
    </row>
    <row r="202" spans="1:2" x14ac:dyDescent="0.2">
      <c r="A202" t="s">
        <v>201</v>
      </c>
      <c r="B202" t="e">
        <f>VLOOKUP(5,Data!F2:G11,2,TRUE)</f>
        <v>#N/A</v>
      </c>
    </row>
    <row r="203" spans="1:2" x14ac:dyDescent="0.2">
      <c r="A203" t="s">
        <v>202</v>
      </c>
      <c r="B203">
        <f>VLOOKUP("k*",Data!B2:C11,2,FALSE)</f>
        <v>-2</v>
      </c>
    </row>
    <row r="204" spans="1:2" x14ac:dyDescent="0.2">
      <c r="A204" t="s">
        <v>203</v>
      </c>
      <c r="B204">
        <f>HLOOKUP("Date",Data!A1:H11,3,FALSE)</f>
        <v>45329</v>
      </c>
    </row>
    <row r="205" spans="1:2" x14ac:dyDescent="0.2">
      <c r="A205" t="s">
        <v>204</v>
      </c>
      <c r="B205">
        <f>MATCH("grape",Data!B2:B11,0)</f>
        <v>7</v>
      </c>
    </row>
    <row r="206" spans="1:2" x14ac:dyDescent="0.2">
      <c r="A206" t="s">
        <v>205</v>
      </c>
      <c r="B206">
        <f>MATCH(55,Data!F2:F11,1)</f>
        <v>5</v>
      </c>
    </row>
    <row r="207" spans="1:2" x14ac:dyDescent="0.2">
      <c r="A207" t="s">
        <v>206</v>
      </c>
      <c r="B207">
        <f>MATCH(55,Data!F2:F11)</f>
        <v>5</v>
      </c>
    </row>
    <row r="208" spans="1:2" x14ac:dyDescent="0.2">
      <c r="A208" t="s">
        <v>207</v>
      </c>
      <c r="B208">
        <f>MATCH("GRAPE",Data!B2:B11,0)</f>
        <v>7</v>
      </c>
    </row>
    <row r="209" spans="1:2" x14ac:dyDescent="0.2">
      <c r="A209" t="s">
        <v>208</v>
      </c>
      <c r="B209">
        <f>MATCH("g*",Data!B2:B11,0)</f>
        <v>7</v>
      </c>
    </row>
    <row r="210" spans="1:2" x14ac:dyDescent="0.2">
      <c r="A210" t="s">
        <v>209</v>
      </c>
      <c r="B210" t="str">
        <f>INDEX(Data!A2:H11,3,2)</f>
        <v>cherry</v>
      </c>
    </row>
    <row r="211" spans="1:2" x14ac:dyDescent="0.2">
      <c r="A211" t="s">
        <v>210</v>
      </c>
      <c r="B211" t="str">
        <f>INDEX(Data!B2:B11,4)</f>
        <v>date</v>
      </c>
    </row>
    <row r="212" spans="1:2" x14ac:dyDescent="0.2">
      <c r="A212" t="s">
        <v>211</v>
      </c>
      <c r="B212">
        <f>INDEX(Data!A2:A11,MATCH("kiwi",Data!B2:B11,0))</f>
        <v>6</v>
      </c>
    </row>
    <row r="213" spans="1:2" x14ac:dyDescent="0.2">
      <c r="A213" t="s">
        <v>212</v>
      </c>
      <c r="B213">
        <f>_xlfn.XLOOKUP("kiwi",Data!B2:B11,Data!A2:A11)</f>
        <v>6</v>
      </c>
    </row>
    <row r="214" spans="1:2" x14ac:dyDescent="0.2">
      <c r="A214" t="s">
        <v>213</v>
      </c>
      <c r="B214">
        <f>_xlfn.XLOOKUP("KIWI",Data!B2:B11,Data!A2:A11)</f>
        <v>6</v>
      </c>
    </row>
    <row r="215" spans="1:2" x14ac:dyDescent="0.2">
      <c r="A215" t="s">
        <v>214</v>
      </c>
      <c r="B215" t="str">
        <f>_xlfn.XLOOKUP("none",Data!B2:B11,Data!A2:A11,"missing")</f>
        <v>missing</v>
      </c>
    </row>
    <row r="216" spans="1:2" x14ac:dyDescent="0.2">
      <c r="A216" t="s">
        <v>215</v>
      </c>
      <c r="B216" t="e">
        <f>_xlfn.XLOOKUP("none",Data!B2:B11,Data!A2:A11)</f>
        <v>#N/A</v>
      </c>
    </row>
    <row r="217" spans="1:2" x14ac:dyDescent="0.2">
      <c r="A217" t="s">
        <v>216</v>
      </c>
      <c r="B217">
        <f>_xlfn.XLOOKUP("*on",Data!B2:B11,Data!A2:A11,,2)</f>
        <v>10</v>
      </c>
    </row>
    <row r="218" spans="1:2" x14ac:dyDescent="0.2">
      <c r="A218" t="s">
        <v>217</v>
      </c>
      <c r="B218">
        <f>_xlfn.XLOOKUP("a",Data!E2:E11,Data!A2:A11,,0,-1)</f>
        <v>4</v>
      </c>
    </row>
    <row r="219" spans="1:2" x14ac:dyDescent="0.2">
      <c r="A219" t="s">
        <v>218</v>
      </c>
      <c r="B219" t="str">
        <f>_xlfn.XLOOKUP(55,Data!F2:F11,Data!B2:B11,,-1)</f>
        <v>Elder</v>
      </c>
    </row>
    <row r="220" spans="1:2" x14ac:dyDescent="0.2">
      <c r="A220" t="s">
        <v>219</v>
      </c>
      <c r="B220" t="str">
        <f>_xlfn.XLOOKUP(55,Data!F2:F11,Data!B2:B11,,1)</f>
        <v>fig</v>
      </c>
    </row>
    <row r="221" spans="1:2" x14ac:dyDescent="0.2">
      <c r="A221" t="s">
        <v>220</v>
      </c>
      <c r="B221">
        <f>_xlfn.XMATCH("c",Data!E2:E11)</f>
        <v>4</v>
      </c>
    </row>
    <row r="222" spans="1:2" x14ac:dyDescent="0.2">
      <c r="A222" t="s">
        <v>221</v>
      </c>
      <c r="B222">
        <f>_xlfn.XMATCH("c",Data!E2:E11,0,-1)</f>
        <v>10</v>
      </c>
    </row>
    <row r="223" spans="1:2" x14ac:dyDescent="0.2">
      <c r="A223" t="s">
        <v>222</v>
      </c>
      <c r="B223" t="str">
        <f>LOOKUP(55,Data!F2:F11,Data!B2:B11)</f>
        <v>Elder</v>
      </c>
    </row>
    <row r="224" spans="1:2" x14ac:dyDescent="0.2">
      <c r="A224" t="s">
        <v>223</v>
      </c>
      <c r="B224">
        <f>ROWS(Data!A2:H11)</f>
        <v>10</v>
      </c>
    </row>
    <row r="225" spans="1:2" x14ac:dyDescent="0.2">
      <c r="A225" t="s">
        <v>224</v>
      </c>
      <c r="B225">
        <f>COLUMNS(Data!A2:H11)</f>
        <v>8</v>
      </c>
    </row>
    <row r="226" spans="1:2" x14ac:dyDescent="0.2">
      <c r="A226" t="s">
        <v>225</v>
      </c>
      <c r="B226">
        <f>ROW(Data!C7)</f>
        <v>7</v>
      </c>
    </row>
    <row r="227" spans="1:2" x14ac:dyDescent="0.2">
      <c r="A227" t="s">
        <v>226</v>
      </c>
      <c r="B227">
        <f>COLUMN(Data!C7)</f>
        <v>3</v>
      </c>
    </row>
    <row r="228" spans="1:2" x14ac:dyDescent="0.2">
      <c r="A228" t="s">
        <v>227</v>
      </c>
      <c r="B228">
        <f>ROW()</f>
        <v>228</v>
      </c>
    </row>
    <row r="229" spans="1:2" x14ac:dyDescent="0.2">
      <c r="A229" t="s">
        <v>228</v>
      </c>
      <c r="B229">
        <f>COLUMN()</f>
        <v>2</v>
      </c>
    </row>
    <row r="230" spans="1:2" x14ac:dyDescent="0.2">
      <c r="A230" t="s">
        <v>229</v>
      </c>
      <c r="B230">
        <f>SUM(INDEX(Data!A2:H11,0,1))</f>
        <v>55</v>
      </c>
    </row>
    <row r="231" spans="1:2" x14ac:dyDescent="0.2">
      <c r="A231" t="s">
        <v>230</v>
      </c>
      <c r="B231" t="e">
        <f>TRANSPOSE(Data!A2:A4)</f>
        <v>#VALUE!</v>
      </c>
    </row>
    <row r="232" spans="1:2" x14ac:dyDescent="0.2">
      <c r="A232" t="s">
        <v>231</v>
      </c>
      <c r="B232">
        <f>_xlfn._xlws.SORT(Data!A2:A11)</f>
        <v>1</v>
      </c>
    </row>
    <row r="233" spans="1:2" x14ac:dyDescent="0.2">
      <c r="A233" t="s">
        <v>232</v>
      </c>
      <c r="B233" t="str">
        <f>_xlfn.UNIQUE(Data!E2:E11)</f>
        <v>a</v>
      </c>
    </row>
    <row r="234" spans="1:2" x14ac:dyDescent="0.2">
      <c r="A234" t="s">
        <v>233</v>
      </c>
      <c r="B234">
        <f>COUNTA(_xlfn.UNIQUE(Data!E2:E11))</f>
        <v>3</v>
      </c>
    </row>
    <row r="235" spans="1:2" x14ac:dyDescent="0.2">
      <c r="A235" t="s">
        <v>234</v>
      </c>
      <c r="B235">
        <f>_xlfn._xlws.FILTER(Data!A2:A11,Data!E2:E11="a")</f>
        <v>5</v>
      </c>
    </row>
    <row r="236" spans="1:2" x14ac:dyDescent="0.2">
      <c r="A236" t="s">
        <v>235</v>
      </c>
      <c r="B236">
        <f>SUM(_xlfn._xlws.FILTER(Data!A2:A11,Data!E2:E11="a"))</f>
        <v>19</v>
      </c>
    </row>
    <row r="237" spans="1:2" x14ac:dyDescent="0.2">
      <c r="A237" t="s">
        <v>236</v>
      </c>
      <c r="B237">
        <f ca="1">INDIRECT("Data!A3")</f>
        <v>3</v>
      </c>
    </row>
    <row r="238" spans="1:2" x14ac:dyDescent="0.2">
      <c r="A238" t="s">
        <v>237</v>
      </c>
      <c r="B238">
        <f ca="1">SUM(OFFSET(Data!A2,1,0,3,1))</f>
        <v>12</v>
      </c>
    </row>
    <row r="239" spans="1:2" x14ac:dyDescent="0.2">
      <c r="A239" t="s">
        <v>238</v>
      </c>
      <c r="B239">
        <f>DATE(2024,1,31)</f>
        <v>45322</v>
      </c>
    </row>
    <row r="240" spans="1:2" x14ac:dyDescent="0.2">
      <c r="A240" t="s">
        <v>239</v>
      </c>
      <c r="B240">
        <f>DATE(2024,14,1)</f>
        <v>45689</v>
      </c>
    </row>
    <row r="241" spans="1:2" x14ac:dyDescent="0.2">
      <c r="A241" t="s">
        <v>240</v>
      </c>
      <c r="B241">
        <f>DATE(2024,3,0)</f>
        <v>45351</v>
      </c>
    </row>
    <row r="242" spans="1:2" x14ac:dyDescent="0.2">
      <c r="A242" t="s">
        <v>241</v>
      </c>
      <c r="B242">
        <f>DATE(24,1,1)</f>
        <v>8767</v>
      </c>
    </row>
    <row r="243" spans="1:2" x14ac:dyDescent="0.2">
      <c r="A243" t="s">
        <v>242</v>
      </c>
      <c r="B243">
        <f>DATEVALUE("2024-01-31")</f>
        <v>45322</v>
      </c>
    </row>
    <row r="244" spans="1:2" x14ac:dyDescent="0.2">
      <c r="A244" t="s">
        <v>243</v>
      </c>
      <c r="B244">
        <f>DATEVALUE("1/31/2024")</f>
        <v>45322</v>
      </c>
    </row>
    <row r="245" spans="1:2" x14ac:dyDescent="0.2">
      <c r="A245" t="s">
        <v>244</v>
      </c>
      <c r="B245">
        <f>YEAR(Data!D5)</f>
        <v>2024</v>
      </c>
    </row>
    <row r="246" spans="1:2" x14ac:dyDescent="0.2">
      <c r="A246" t="s">
        <v>245</v>
      </c>
      <c r="B246">
        <f>MONTH(Data!D5)</f>
        <v>4</v>
      </c>
    </row>
    <row r="247" spans="1:2" x14ac:dyDescent="0.2">
      <c r="A247" t="s">
        <v>246</v>
      </c>
      <c r="B247">
        <f>DAY(Data!D5)</f>
        <v>21</v>
      </c>
    </row>
    <row r="248" spans="1:2" x14ac:dyDescent="0.2">
      <c r="A248" t="s">
        <v>247</v>
      </c>
      <c r="B248">
        <f>WEEKDAY(Data!D2)</f>
        <v>2</v>
      </c>
    </row>
    <row r="249" spans="1:2" x14ac:dyDescent="0.2">
      <c r="A249" t="s">
        <v>248</v>
      </c>
      <c r="B249">
        <f>WEEKDAY(Data!D2,2)</f>
        <v>1</v>
      </c>
    </row>
    <row r="250" spans="1:2" x14ac:dyDescent="0.2">
      <c r="A250" t="s">
        <v>249</v>
      </c>
      <c r="B250">
        <f>WEEKNUM(Data!D5)</f>
        <v>17</v>
      </c>
    </row>
    <row r="251" spans="1:2" x14ac:dyDescent="0.2">
      <c r="A251" t="s">
        <v>250</v>
      </c>
      <c r="B251">
        <f>_xlfn.ISOWEEKNUM(Data!D5)</f>
        <v>16</v>
      </c>
    </row>
    <row r="252" spans="1:2" x14ac:dyDescent="0.2">
      <c r="A252" t="s">
        <v>251</v>
      </c>
      <c r="B252">
        <f>EDATE(Data!D2,1)</f>
        <v>45323</v>
      </c>
    </row>
    <row r="253" spans="1:2" x14ac:dyDescent="0.2">
      <c r="A253" t="s">
        <v>252</v>
      </c>
      <c r="B253">
        <f>EDATE(DATE(2024,1,31),1)</f>
        <v>45351</v>
      </c>
    </row>
    <row r="254" spans="1:2" x14ac:dyDescent="0.2">
      <c r="A254" t="s">
        <v>253</v>
      </c>
      <c r="B254">
        <f>EOMONTH(Data!D2,1)</f>
        <v>45351</v>
      </c>
    </row>
    <row r="255" spans="1:2" x14ac:dyDescent="0.2">
      <c r="A255" t="s">
        <v>254</v>
      </c>
      <c r="B255">
        <f>EOMONTH(DATE(2024,2,10),0)</f>
        <v>45351</v>
      </c>
    </row>
    <row r="256" spans="1:2" x14ac:dyDescent="0.2">
      <c r="A256" t="s">
        <v>255</v>
      </c>
      <c r="B256">
        <f>_xlfn.DAYS(Data!D11,Data!D2)</f>
        <v>333</v>
      </c>
    </row>
    <row r="257" spans="1:2" x14ac:dyDescent="0.2">
      <c r="A257" t="s">
        <v>256</v>
      </c>
      <c r="B257">
        <f>DATEDIF(Data!D2,Data!D11,"m")</f>
        <v>10</v>
      </c>
    </row>
    <row r="258" spans="1:2" x14ac:dyDescent="0.2">
      <c r="A258" t="s">
        <v>257</v>
      </c>
      <c r="B258">
        <f>DATEDIF(Data!D2,Data!D11,"d")</f>
        <v>333</v>
      </c>
    </row>
    <row r="259" spans="1:2" x14ac:dyDescent="0.2">
      <c r="A259" t="s">
        <v>258</v>
      </c>
      <c r="B259">
        <f>DATEDIF(DATE(2020,2,29),DATE(2024,2,28),"y")</f>
        <v>3</v>
      </c>
    </row>
    <row r="260" spans="1:2" x14ac:dyDescent="0.2">
      <c r="A260" t="s">
        <v>259</v>
      </c>
      <c r="B260">
        <f>NETWORKDAYS(Data!D2,Data!D3)</f>
        <v>28</v>
      </c>
    </row>
    <row r="261" spans="1:2" x14ac:dyDescent="0.2">
      <c r="A261" t="s">
        <v>260</v>
      </c>
      <c r="B261">
        <f>WORKDAY(Data!D2,10)</f>
        <v>45306</v>
      </c>
    </row>
    <row r="262" spans="1:2" x14ac:dyDescent="0.2">
      <c r="A262" t="s">
        <v>261</v>
      </c>
      <c r="B262">
        <f>YEARFRAC(Data!D2,Data!D11)</f>
        <v>0.91111111111111109</v>
      </c>
    </row>
    <row r="263" spans="1:2" x14ac:dyDescent="0.2">
      <c r="A263" t="s">
        <v>262</v>
      </c>
      <c r="B263">
        <f>YEARFRAC(Data!D2,Data!D11,1)</f>
        <v>0.9098360655737705</v>
      </c>
    </row>
    <row r="264" spans="1:2" x14ac:dyDescent="0.2">
      <c r="A264" t="s">
        <v>263</v>
      </c>
      <c r="B264">
        <f>TIME(13,30,0)</f>
        <v>0.5625</v>
      </c>
    </row>
    <row r="265" spans="1:2" x14ac:dyDescent="0.2">
      <c r="A265" t="s">
        <v>264</v>
      </c>
      <c r="B265">
        <f>HOUR(0.75)</f>
        <v>18</v>
      </c>
    </row>
    <row r="266" spans="1:2" x14ac:dyDescent="0.2">
      <c r="A266" t="s">
        <v>265</v>
      </c>
      <c r="B266">
        <f>MINUTE(0.5104)</f>
        <v>14</v>
      </c>
    </row>
    <row r="267" spans="1:2" x14ac:dyDescent="0.2">
      <c r="A267" t="s">
        <v>266</v>
      </c>
      <c r="B267">
        <f>DATE(1900,2,29)</f>
        <v>60</v>
      </c>
    </row>
    <row r="268" spans="1:2" x14ac:dyDescent="0.2">
      <c r="A268" t="s">
        <v>267</v>
      </c>
      <c r="B268">
        <f>DATE(1900,3,1)-DATE(1900,2,28)</f>
        <v>2</v>
      </c>
    </row>
    <row r="269" spans="1:2" x14ac:dyDescent="0.2">
      <c r="A269" t="s">
        <v>268</v>
      </c>
      <c r="B269">
        <f>Data!D3-Data!D2</f>
        <v>37</v>
      </c>
    </row>
    <row r="270" spans="1:2" x14ac:dyDescent="0.2">
      <c r="A270" t="s">
        <v>269</v>
      </c>
      <c r="B270">
        <f>YEAR("2024-06-01")</f>
        <v>2024</v>
      </c>
    </row>
    <row r="271" spans="1:2" x14ac:dyDescent="0.2">
      <c r="A271" t="s">
        <v>270</v>
      </c>
      <c r="B271">
        <f>PMT(0.05/12,360,-200000)</f>
        <v>1073.6432460242781</v>
      </c>
    </row>
    <row r="272" spans="1:2" x14ac:dyDescent="0.2">
      <c r="A272" t="s">
        <v>271</v>
      </c>
      <c r="B272">
        <f>PMT(0,12,1200)</f>
        <v>-100</v>
      </c>
    </row>
    <row r="273" spans="1:2" x14ac:dyDescent="0.2">
      <c r="A273" t="s">
        <v>272</v>
      </c>
      <c r="B273">
        <f>PV(0.05,10,-1000)</f>
        <v>7721.7349291848132</v>
      </c>
    </row>
    <row r="274" spans="1:2" x14ac:dyDescent="0.2">
      <c r="A274" t="s">
        <v>273</v>
      </c>
      <c r="B274">
        <f>FV(0.05/12,120,-100)</f>
        <v>15528.227944566865</v>
      </c>
    </row>
    <row r="275" spans="1:2" x14ac:dyDescent="0.2">
      <c r="A275" t="s">
        <v>274</v>
      </c>
      <c r="B275">
        <f>NPV(0.08,-1000,300,400,500)</f>
        <v>16.32354297090362</v>
      </c>
    </row>
    <row r="276" spans="1:2" x14ac:dyDescent="0.2">
      <c r="A276" t="s">
        <v>275</v>
      </c>
      <c r="B276">
        <f>IRR({-1000,300,400,500})</f>
        <v>8.8963394693349906E-2</v>
      </c>
    </row>
    <row r="277" spans="1:2" x14ac:dyDescent="0.2">
      <c r="A277" t="s">
        <v>276</v>
      </c>
      <c r="B277">
        <f>RATE(36,-300,10000)</f>
        <v>4.2206675456282015E-3</v>
      </c>
    </row>
    <row r="278" spans="1:2" x14ac:dyDescent="0.2">
      <c r="A278" t="s">
        <v>277</v>
      </c>
      <c r="B278">
        <f>NPER(0.01,-100,1000)</f>
        <v>10.588644459423231</v>
      </c>
    </row>
    <row r="279" spans="1:2" x14ac:dyDescent="0.2">
      <c r="A279" t="s">
        <v>278</v>
      </c>
      <c r="B279">
        <f>IPMT(0.05/12,1,360,-200000)</f>
        <v>833.33333333333337</v>
      </c>
    </row>
    <row r="280" spans="1:2" x14ac:dyDescent="0.2">
      <c r="A280" t="s">
        <v>279</v>
      </c>
      <c r="B280">
        <f>PPMT(0.05/12,1,360,-200000)</f>
        <v>240.30991269094474</v>
      </c>
    </row>
    <row r="281" spans="1:2" x14ac:dyDescent="0.2">
      <c r="A281" t="s">
        <v>280</v>
      </c>
      <c r="B281">
        <f>SLN(10000,1000,5)</f>
        <v>1800</v>
      </c>
    </row>
    <row r="282" spans="1:2" x14ac:dyDescent="0.2">
      <c r="A282" t="s">
        <v>281</v>
      </c>
      <c r="B282">
        <f>DB(10000,1000,5,1)</f>
        <v>3690</v>
      </c>
    </row>
    <row r="283" spans="1:2" x14ac:dyDescent="0.2">
      <c r="A283" t="s">
        <v>282</v>
      </c>
      <c r="B283">
        <f>PMT(Rate/12,24,-5000)</f>
        <v>219.35694867034223</v>
      </c>
    </row>
    <row r="284" spans="1:2" x14ac:dyDescent="0.2">
      <c r="A284" t="s">
        <v>283</v>
      </c>
      <c r="B284" t="b">
        <f>ISNUMBER(Data!C3)</f>
        <v>0</v>
      </c>
    </row>
    <row r="285" spans="1:2" x14ac:dyDescent="0.2">
      <c r="A285" t="s">
        <v>284</v>
      </c>
      <c r="B285" t="b">
        <f>ISNUMBER(Data!C2)</f>
        <v>1</v>
      </c>
    </row>
    <row r="286" spans="1:2" x14ac:dyDescent="0.2">
      <c r="A286" t="s">
        <v>285</v>
      </c>
      <c r="B286" t="b">
        <f>ISTEXT(Data!C3)</f>
        <v>1</v>
      </c>
    </row>
    <row r="287" spans="1:2" x14ac:dyDescent="0.2">
      <c r="A287" t="s">
        <v>286</v>
      </c>
      <c r="B287" t="b">
        <f>ISBLANK(Data!C5)</f>
        <v>1</v>
      </c>
    </row>
    <row r="288" spans="1:2" x14ac:dyDescent="0.2">
      <c r="A288" t="s">
        <v>287</v>
      </c>
      <c r="B288" t="b">
        <f>ISBLANK("")</f>
        <v>0</v>
      </c>
    </row>
    <row r="289" spans="1:2" x14ac:dyDescent="0.2">
      <c r="A289" t="s">
        <v>288</v>
      </c>
      <c r="B289" t="b">
        <f>ISERROR(1/0)</f>
        <v>1</v>
      </c>
    </row>
    <row r="290" spans="1:2" x14ac:dyDescent="0.2">
      <c r="A290" t="s">
        <v>289</v>
      </c>
      <c r="B290" t="b">
        <f>ISNA(NA())</f>
        <v>1</v>
      </c>
    </row>
    <row r="291" spans="1:2" x14ac:dyDescent="0.2">
      <c r="A291" t="s">
        <v>290</v>
      </c>
      <c r="B291" t="b">
        <f>ISNA(1/0)</f>
        <v>0</v>
      </c>
    </row>
    <row r="292" spans="1:2" x14ac:dyDescent="0.2">
      <c r="A292" t="s">
        <v>291</v>
      </c>
      <c r="B292" t="b">
        <f>ISERR(NA())</f>
        <v>0</v>
      </c>
    </row>
    <row r="293" spans="1:2" x14ac:dyDescent="0.2">
      <c r="A293" t="s">
        <v>292</v>
      </c>
      <c r="B293" t="b">
        <f>ISEVEN(4)</f>
        <v>1</v>
      </c>
    </row>
    <row r="294" spans="1:2" x14ac:dyDescent="0.2">
      <c r="A294" t="s">
        <v>293</v>
      </c>
      <c r="B294" t="b">
        <f>ISODD(4.5)</f>
        <v>0</v>
      </c>
    </row>
    <row r="295" spans="1:2" x14ac:dyDescent="0.2">
      <c r="A295" t="s">
        <v>294</v>
      </c>
      <c r="B295" t="b">
        <f>ISLOGICAL(Data!C4)</f>
        <v>1</v>
      </c>
    </row>
    <row r="296" spans="1:2" x14ac:dyDescent="0.2">
      <c r="A296" t="s">
        <v>295</v>
      </c>
      <c r="B296">
        <f>TYPE("a")</f>
        <v>2</v>
      </c>
    </row>
    <row r="297" spans="1:2" x14ac:dyDescent="0.2">
      <c r="A297" t="s">
        <v>296</v>
      </c>
      <c r="B297">
        <f>TYPE(TRUE)</f>
        <v>4</v>
      </c>
    </row>
    <row r="298" spans="1:2" x14ac:dyDescent="0.2">
      <c r="A298" t="s">
        <v>297</v>
      </c>
      <c r="B298">
        <f>TYPE(Data!A2:A3)</f>
        <v>16</v>
      </c>
    </row>
    <row r="299" spans="1:2" x14ac:dyDescent="0.2">
      <c r="A299" t="s">
        <v>298</v>
      </c>
      <c r="B299">
        <f>ERROR.TYPE(1/0)</f>
        <v>2</v>
      </c>
    </row>
    <row r="300" spans="1:2" x14ac:dyDescent="0.2">
      <c r="A300" t="s">
        <v>299</v>
      </c>
      <c r="B300" t="e">
        <f>NA()</f>
        <v>#N/A</v>
      </c>
    </row>
    <row r="301" spans="1:2" x14ac:dyDescent="0.2">
      <c r="A301" t="s">
        <v>300</v>
      </c>
      <c r="B301" t="b">
        <f>_xlfn.ISFORMULA(Data!A2)</f>
        <v>0</v>
      </c>
    </row>
    <row r="302" spans="1:2" x14ac:dyDescent="0.2">
      <c r="A302" t="s">
        <v>301</v>
      </c>
      <c r="B302">
        <f>Other!A1+Other!A2</f>
        <v>300</v>
      </c>
    </row>
    <row r="303" spans="1:2" x14ac:dyDescent="0.2">
      <c r="A303" t="s">
        <v>302</v>
      </c>
      <c r="B303">
        <f>SUM(Other!A1:A2)</f>
        <v>300</v>
      </c>
    </row>
    <row r="304" spans="1:2" x14ac:dyDescent="0.2">
      <c r="A304" t="s">
        <v>303</v>
      </c>
      <c r="B304" t="str">
        <f>Other!B1&amp;Other!B2</f>
        <v>far3</v>
      </c>
    </row>
    <row r="305" spans="1:2" x14ac:dyDescent="0.2">
      <c r="A305" t="s">
        <v>304</v>
      </c>
      <c r="B305">
        <f>SUM(Nums)/COUNT(Nums)</f>
        <v>5.5</v>
      </c>
    </row>
    <row r="306" spans="1:2" x14ac:dyDescent="0.2">
      <c r="A306" t="s">
        <v>305</v>
      </c>
      <c r="B306">
        <f>Rate*100</f>
        <v>5</v>
      </c>
    </row>
    <row r="307" spans="1:2" x14ac:dyDescent="0.2">
      <c r="A307" t="s">
        <v>306</v>
      </c>
      <c r="B307">
        <f>SUM(Data!A2:A11 Data!A5:C5)</f>
        <v>1</v>
      </c>
    </row>
    <row r="308" spans="1:2" x14ac:dyDescent="0.2">
      <c r="A308" t="s">
        <v>307</v>
      </c>
      <c r="B308">
        <f>SUM(Data:Other!A2)</f>
        <v>205</v>
      </c>
    </row>
    <row r="309" spans="1:2" x14ac:dyDescent="0.2">
      <c r="A309" t="s">
        <v>308</v>
      </c>
      <c r="B309">
        <f>SUM(Data!A2:A11)-SUM(Data!A2,Data!A3:A11)</f>
        <v>0</v>
      </c>
    </row>
    <row r="310" spans="1:2" x14ac:dyDescent="0.2">
      <c r="A310" t="s">
        <v>309</v>
      </c>
      <c r="B310">
        <f>SUMPRODUCT(LEN(Data!B2:B11))</f>
        <v>51</v>
      </c>
    </row>
    <row r="311" spans="1:2" x14ac:dyDescent="0.2">
      <c r="A311" t="s">
        <v>310</v>
      </c>
      <c r="B311" t="e">
        <f>MAX(Data!A2:A11*Data!G2:G11)</f>
        <v>#VALUE!</v>
      </c>
    </row>
    <row r="312" spans="1:2" x14ac:dyDescent="0.2">
      <c r="A312" t="s">
        <v>311</v>
      </c>
      <c r="B312" t="e">
        <f>SUM(Data!A2:A11^2)</f>
        <v>#VALUE!</v>
      </c>
    </row>
    <row r="313" spans="1:2" x14ac:dyDescent="0.2">
      <c r="A313" t="s">
        <v>312</v>
      </c>
      <c r="B313" t="e">
        <f>SUM((Data!A2:A11&gt;5)*1)</f>
        <v>#VALUE!</v>
      </c>
    </row>
    <row r="314" spans="1:2" x14ac:dyDescent="0.2">
      <c r="A314" t="s">
        <v>313</v>
      </c>
      <c r="B314" t="e">
        <f>SUM(IF(Data!A2:A11&gt;5,1,0))</f>
        <v>#VALUE!</v>
      </c>
    </row>
    <row r="315" spans="1:2" x14ac:dyDescent="0.2">
      <c r="A315" t="s">
        <v>314</v>
      </c>
      <c r="B315">
        <f>_xlfn.SEQUENCE(3)</f>
        <v>1</v>
      </c>
    </row>
    <row r="316" spans="1:2" x14ac:dyDescent="0.2">
      <c r="A316" t="s">
        <v>315</v>
      </c>
      <c r="B316">
        <f>_xlfn.SEQUENCE(2,3,10,5)</f>
        <v>10</v>
      </c>
    </row>
    <row r="317" spans="1:2" x14ac:dyDescent="0.2">
      <c r="A317" t="s">
        <v>316</v>
      </c>
      <c r="B317">
        <f>_xlfn.SEQUENCE(1,4)*2</f>
        <v>2</v>
      </c>
    </row>
    <row r="318" spans="1:2" x14ac:dyDescent="0.2">
      <c r="A318" t="s">
        <v>317</v>
      </c>
      <c r="B318" t="str">
        <f>_xlfn._xlws.SORT(Data!B2:C11,1,-1)</f>
        <v>lemon</v>
      </c>
    </row>
    <row r="319" spans="1:2" x14ac:dyDescent="0.2">
      <c r="A319" t="s">
        <v>318</v>
      </c>
      <c r="B319" t="str">
        <f>_xlfn.SORTBY(Data!B2:B11,Data!A2:A11)</f>
        <v>date</v>
      </c>
    </row>
    <row r="320" spans="1:2" x14ac:dyDescent="0.2">
      <c r="A320" t="s">
        <v>319</v>
      </c>
      <c r="B320" t="str">
        <f>_xlfn.SORTBY(Data!B2:B11,Data!E2:E11,1,Data!A2:A11,-1)</f>
        <v>cherry</v>
      </c>
    </row>
    <row r="321" spans="1:2" x14ac:dyDescent="0.2">
      <c r="A321" t="s">
        <v>320</v>
      </c>
      <c r="B321" t="e" vm="1">
        <f>_xlfn.UNIQUE(Data!E2:E11,FALSE,TRUE)</f>
        <v>#VALUE!</v>
      </c>
    </row>
    <row r="322" spans="1:2" x14ac:dyDescent="0.2">
      <c r="A322" t="s">
        <v>321</v>
      </c>
      <c r="B322" t="str">
        <f>_xlfn._xlws.FILTER(Data!B2:B11,Data!A2:A11&gt;6)</f>
        <v>cherry</v>
      </c>
    </row>
    <row r="323" spans="1:2" x14ac:dyDescent="0.2">
      <c r="A323" t="s">
        <v>322</v>
      </c>
      <c r="B323" t="str">
        <f>_xlfn._xlws.FILTER(Data!A2:A11,Data!E2:E11="z","none")</f>
        <v>none</v>
      </c>
    </row>
    <row r="324" spans="1:2" x14ac:dyDescent="0.2">
      <c r="A324" t="s">
        <v>323</v>
      </c>
      <c r="B324" t="e" vm="1">
        <f>_xlfn._xlws.FILTER(Data!A2:A11,Data!E2:E11="z")</f>
        <v>#VALUE!</v>
      </c>
    </row>
    <row r="325" spans="1:2" x14ac:dyDescent="0.2">
      <c r="A325" t="s">
        <v>324</v>
      </c>
      <c r="B325">
        <f>_xlfn._xlws.FILTER(Data!A2:B11,(Data!E2:E11="a")*(Data!A2:A11&gt;4))</f>
        <v>5</v>
      </c>
    </row>
    <row r="326" spans="1:2" x14ac:dyDescent="0.2">
      <c r="A326" t="s">
        <v>325</v>
      </c>
      <c r="B326" t="e">
        <f>_xlfn.TAKE(Data!A2:B11,2)</f>
        <v>#VALUE!</v>
      </c>
    </row>
    <row r="327" spans="1:2" x14ac:dyDescent="0.2">
      <c r="A327" t="s">
        <v>326</v>
      </c>
      <c r="B327" t="e">
        <f>_xlfn.TAKE(Data!A2:A11,-2)</f>
        <v>#VALUE!</v>
      </c>
    </row>
    <row r="328" spans="1:2" x14ac:dyDescent="0.2">
      <c r="A328" t="s">
        <v>327</v>
      </c>
      <c r="B328" t="e">
        <f>_xlfn.DROP(Data!A2:A11,8)</f>
        <v>#VALUE!</v>
      </c>
    </row>
    <row r="329" spans="1:2" x14ac:dyDescent="0.2">
      <c r="A329" t="s">
        <v>328</v>
      </c>
      <c r="B329" t="str">
        <f>_xlfn.CHOOSECOLS(Data!A2:H3,2,1)</f>
        <v>apple</v>
      </c>
    </row>
    <row r="330" spans="1:2" x14ac:dyDescent="0.2">
      <c r="A330" t="s">
        <v>329</v>
      </c>
      <c r="B330">
        <f>_xlfn.CHOOSEROWS(Data!A2:B11,1,-1)</f>
        <v>5</v>
      </c>
    </row>
    <row r="331" spans="1:2" x14ac:dyDescent="0.2">
      <c r="A331" t="s">
        <v>330</v>
      </c>
      <c r="B331">
        <f>_xlfn.VSTACK({1,2},{3,4})</f>
        <v>1</v>
      </c>
    </row>
    <row r="332" spans="1:2" x14ac:dyDescent="0.2">
      <c r="A332" t="s">
        <v>331</v>
      </c>
      <c r="B332">
        <f>_xlfn.HSTACK(Data!A2:A3,Data!B2:B3)</f>
        <v>5</v>
      </c>
    </row>
    <row r="333" spans="1:2" x14ac:dyDescent="0.2">
      <c r="A333" t="s">
        <v>332</v>
      </c>
      <c r="B333">
        <f>_xlfn.VSTACK({1,2},3)</f>
        <v>1</v>
      </c>
    </row>
    <row r="334" spans="1:2" x14ac:dyDescent="0.2">
      <c r="A334" t="s">
        <v>333</v>
      </c>
      <c r="B334">
        <f>_xlfn.TOCOL(Data!A2:B3)</f>
        <v>5</v>
      </c>
    </row>
    <row r="335" spans="1:2" x14ac:dyDescent="0.2">
      <c r="A335" t="s">
        <v>334</v>
      </c>
      <c r="B335">
        <f>_xlfn.TOROW(Data!C2:C6,1)</f>
        <v>1</v>
      </c>
    </row>
    <row r="336" spans="1:2" x14ac:dyDescent="0.2">
      <c r="A336" t="s">
        <v>335</v>
      </c>
      <c r="B336" t="e">
        <f>Data!A2:A5*2</f>
        <v>#VALUE!</v>
      </c>
    </row>
    <row r="337" spans="1:2" x14ac:dyDescent="0.2">
      <c r="A337" t="s">
        <v>336</v>
      </c>
      <c r="B337" t="e">
        <f>Data!B2:B4&amp;"!"</f>
        <v>#VALUE!</v>
      </c>
    </row>
    <row r="338" spans="1:2" x14ac:dyDescent="0.2">
      <c r="A338" t="s">
        <v>337</v>
      </c>
      <c r="B338">
        <f>ROW(Data!A2:A4)</f>
        <v>2</v>
      </c>
    </row>
    <row r="339" spans="1:2" x14ac:dyDescent="0.2">
      <c r="A339" t="s">
        <v>338</v>
      </c>
      <c r="B339" t="e">
        <f>LEN(Data!B2:B4)</f>
        <v>#VALUE!</v>
      </c>
    </row>
    <row r="340" spans="1:2" x14ac:dyDescent="0.2">
      <c r="A340" t="s">
        <v>339</v>
      </c>
      <c r="B340" t="e">
        <f>IF(Data!A2:A5&gt;4,"hi","lo")</f>
        <v>#VALUE!</v>
      </c>
    </row>
    <row r="341" spans="1:2" x14ac:dyDescent="0.2">
      <c r="A341" t="s">
        <v>340</v>
      </c>
      <c r="B341" t="str">
        <f>_xlfn.XLOOKUP("kiwi",Data!B2:B11,Data!A2:D11)</f>
        <v>kiwi</v>
      </c>
    </row>
    <row r="342" spans="1:2" x14ac:dyDescent="0.2">
      <c r="A342" t="s">
        <v>341</v>
      </c>
      <c r="B342" t="str">
        <f>INDEX(Data!A2:C4,2,0)</f>
        <v>Banana</v>
      </c>
    </row>
    <row r="343" spans="1:2" x14ac:dyDescent="0.2">
      <c r="A343" t="s">
        <v>342</v>
      </c>
      <c r="B343" t="e">
        <f>INDEX(Data!A2:C4,0,2)</f>
        <v>#VALUE!</v>
      </c>
    </row>
    <row r="344" spans="1:2" x14ac:dyDescent="0.2">
      <c r="A344" t="s">
        <v>343</v>
      </c>
      <c r="B344" t="e">
        <f>Data!A2:A3</f>
        <v>#VALUE!</v>
      </c>
    </row>
    <row r="345" spans="1:2" x14ac:dyDescent="0.2">
      <c r="A345" t="s">
        <v>344</v>
      </c>
      <c r="B345">
        <f>COUNTIF(Data!E2:E11,{"a","b"})</f>
        <v>4</v>
      </c>
    </row>
    <row r="346" spans="1:2" x14ac:dyDescent="0.2">
      <c r="A346" t="s">
        <v>345</v>
      </c>
      <c r="B346" t="e">
        <f>SUM(Data!A2:A11*Data!H2:H11)</f>
        <v>#VALUE!</v>
      </c>
    </row>
    <row r="347" spans="1:2" x14ac:dyDescent="0.2">
      <c r="A347" t="s">
        <v>346</v>
      </c>
      <c r="B347">
        <f>{1,2;3,4}</f>
        <v>1</v>
      </c>
    </row>
    <row r="348" spans="1:2" x14ac:dyDescent="0.2">
      <c r="A348" t="s">
        <v>347</v>
      </c>
      <c r="B348" t="str">
        <f>IFERROR(1/(Data!A2:A4-3),"x")</f>
        <v>x</v>
      </c>
    </row>
    <row r="349" spans="1:2" x14ac:dyDescent="0.2">
      <c r="A349" t="s">
        <v>348</v>
      </c>
      <c r="B349" t="e">
        <f>MATCH(1,(Data!E2:E11="b")*(Data!A2:A11&gt;5),0)</f>
        <v>#VALUE!</v>
      </c>
    </row>
    <row r="350" spans="1:2" x14ac:dyDescent="0.2">
      <c r="A350" t="s">
        <v>349</v>
      </c>
      <c r="B350">
        <f>SUM(Fruit[Num])</f>
        <v>55</v>
      </c>
    </row>
    <row r="351" spans="1:2" x14ac:dyDescent="0.2">
      <c r="A351" t="s">
        <v>350</v>
      </c>
      <c r="B351">
        <f>SUM(Fruit[[Price]:[Qty]])</f>
        <v>107.63999999999999</v>
      </c>
    </row>
    <row r="352" spans="1:2" x14ac:dyDescent="0.2">
      <c r="A352" t="s">
        <v>351</v>
      </c>
      <c r="B352">
        <f>ROWS(Fruit[#All])</f>
        <v>11</v>
      </c>
    </row>
    <row r="353" spans="1:2" x14ac:dyDescent="0.2">
      <c r="A353" t="s">
        <v>352</v>
      </c>
      <c r="B353">
        <f>COUNTA(Fruit[#Headers])</f>
        <v>8</v>
      </c>
    </row>
    <row r="354" spans="1:2" x14ac:dyDescent="0.2">
      <c r="A354" t="s">
        <v>353</v>
      </c>
      <c r="B354" t="str">
        <f>INDEX(Fruit[Name],3)</f>
        <v>cherry</v>
      </c>
    </row>
    <row r="355" spans="1:2" x14ac:dyDescent="0.2">
      <c r="A355" t="s">
        <v>354</v>
      </c>
      <c r="B355">
        <f>SUMIFS(Fruit[Qty],Fruit[Cat],"a")</f>
        <v>13</v>
      </c>
    </row>
    <row r="356" spans="1:2" x14ac:dyDescent="0.2">
      <c r="A356" t="s">
        <v>355</v>
      </c>
      <c r="B356">
        <f>_xlfn.LET(_xlpm.x,5,_xlpm.y,_xlpm.x*2,_xlpm.x+_xlpm.y)</f>
        <v>15</v>
      </c>
    </row>
    <row r="357" spans="1:2" x14ac:dyDescent="0.2">
      <c r="A357" t="s">
        <v>356</v>
      </c>
      <c r="B357">
        <f>_xlfn.LET(_xlpm.total,SUM(Data!A2:A11),_xlpm.total/COUNT(Data!A2:A11))</f>
        <v>5.5</v>
      </c>
    </row>
    <row r="358" spans="1:2" x14ac:dyDescent="0.2">
      <c r="A358" t="s">
        <v>357</v>
      </c>
      <c r="B358" t="e">
        <f>_xlfn.LET(_xlpm.r,Data!A2:A11,SUM(_xlpm.r*2))</f>
        <v>#VALUE!</v>
      </c>
    </row>
    <row r="359" spans="1:2" x14ac:dyDescent="0.2">
      <c r="A359" t="s">
        <v>358</v>
      </c>
      <c r="B359" t="str">
        <f ca="1">INDIRECT("Data!B"&amp;3)</f>
        <v>Banana</v>
      </c>
    </row>
    <row r="360" spans="1:2" x14ac:dyDescent="0.2">
      <c r="A360" t="s">
        <v>359</v>
      </c>
      <c r="B360">
        <f ca="1">SUM(INDIRECT("Data!A2:A5"))</f>
        <v>17</v>
      </c>
    </row>
    <row r="361" spans="1:2" x14ac:dyDescent="0.2">
      <c r="A361" t="s">
        <v>360</v>
      </c>
      <c r="B361" t="str">
        <f ca="1">INDIRECT("Data!R3C2",FALSE)</f>
        <v>Banana</v>
      </c>
    </row>
    <row r="362" spans="1:2" x14ac:dyDescent="0.2">
      <c r="A362" t="s">
        <v>361</v>
      </c>
      <c r="B362">
        <f ca="1">SUM(INDIRECT("Nums"))</f>
        <v>55</v>
      </c>
    </row>
    <row r="363" spans="1:2" x14ac:dyDescent="0.2">
      <c r="A363" t="s">
        <v>362</v>
      </c>
      <c r="B363">
        <f ca="1">SUM(OFFSET(Data!A2,2,0,3,2))</f>
        <v>18</v>
      </c>
    </row>
    <row r="364" spans="1:2" x14ac:dyDescent="0.2">
      <c r="A364" t="s">
        <v>363</v>
      </c>
      <c r="B364" t="str">
        <f ca="1">OFFSET(Data!A2,3,1)</f>
        <v>date</v>
      </c>
    </row>
    <row r="365" spans="1:2" x14ac:dyDescent="0.2">
      <c r="A365" t="s">
        <v>364</v>
      </c>
      <c r="B365">
        <f ca="1">ROWS(OFFSET(Data!A1,0,0,5,2))</f>
        <v>5</v>
      </c>
    </row>
    <row r="366" spans="1:2" x14ac:dyDescent="0.2">
      <c r="A366" t="s">
        <v>365</v>
      </c>
      <c r="B366">
        <f>SUM(Data!A2:INDEX(Data!A2:A11,4))</f>
        <v>17</v>
      </c>
    </row>
    <row r="367" spans="1:2" x14ac:dyDescent="0.2">
      <c r="A367" t="s">
        <v>366</v>
      </c>
      <c r="B367">
        <f>SUM((Data!A2:A3,Data!A6:A7))</f>
        <v>19</v>
      </c>
    </row>
    <row r="368" spans="1:2" x14ac:dyDescent="0.2">
      <c r="A368" t="s">
        <v>367</v>
      </c>
      <c r="B368">
        <f>AREAS((Data!A2:A3,Data!A6:A7))</f>
        <v>2</v>
      </c>
    </row>
    <row r="369" spans="1:2" x14ac:dyDescent="0.2">
      <c r="A369" t="s">
        <v>368</v>
      </c>
      <c r="B369" t="str">
        <f>INDEX((Data!A2:A3,Data!B2:B3),2,1,2)</f>
        <v>Banana</v>
      </c>
    </row>
    <row r="370" spans="1:2" x14ac:dyDescent="0.2">
      <c r="A370" t="s">
        <v>369</v>
      </c>
      <c r="B370" t="e">
        <f>Data!A2:C5 Data!B3:D4</f>
        <v>#VALUE!</v>
      </c>
    </row>
    <row r="371" spans="1:2" x14ac:dyDescent="0.2">
      <c r="A371" t="s">
        <v>370</v>
      </c>
      <c r="B371">
        <f>SUM(Data!A2:C5 Data!B3:D4)</f>
        <v>0</v>
      </c>
    </row>
    <row r="372" spans="1:2" x14ac:dyDescent="0.2">
      <c r="A372" t="s">
        <v>371</v>
      </c>
      <c r="B372" t="e">
        <f>SUM(Data!A2:A3 Data!B2:B3)</f>
        <v>#NULL!</v>
      </c>
    </row>
    <row r="373" spans="1:2" x14ac:dyDescent="0.2">
      <c r="A373" t="s">
        <v>372</v>
      </c>
      <c r="B373">
        <f>SUM(Data:Other!A1)</f>
        <v>100</v>
      </c>
    </row>
    <row r="374" spans="1:2" x14ac:dyDescent="0.2">
      <c r="A374" t="s">
        <v>373</v>
      </c>
      <c r="B374">
        <f>COUNT(Data:Other!A1:B2)</f>
        <v>4</v>
      </c>
    </row>
    <row r="375" spans="1:2" x14ac:dyDescent="0.2">
      <c r="A375" t="s">
        <v>374</v>
      </c>
      <c r="B375" t="str">
        <f>_xlfn.TEXTBEFORE("one two three"," ",-1)</f>
        <v>one two</v>
      </c>
    </row>
    <row r="376" spans="1:2" x14ac:dyDescent="0.2">
      <c r="A376" t="s">
        <v>375</v>
      </c>
      <c r="B376" t="str">
        <f>_xlfn.TEXTAFTER("a-b-c","B",1,1)</f>
        <v>-c</v>
      </c>
    </row>
    <row r="377" spans="1:2" x14ac:dyDescent="0.2">
      <c r="A377" t="s">
        <v>376</v>
      </c>
      <c r="B377" t="str">
        <f>_xlfn.TEXTAFTER("a-b-c","x",1,0,0,"none")</f>
        <v>none</v>
      </c>
    </row>
    <row r="378" spans="1:2" x14ac:dyDescent="0.2">
      <c r="A378" t="s">
        <v>377</v>
      </c>
      <c r="B378" t="b">
        <f>_xlfn.ISFORMULA(Other!A1)</f>
        <v>0</v>
      </c>
    </row>
    <row r="379" spans="1:2" x14ac:dyDescent="0.2">
      <c r="A379" t="s">
        <v>378</v>
      </c>
      <c r="B379" t="b">
        <f>ISREF(Data!A1)</f>
        <v>1</v>
      </c>
    </row>
    <row r="380" spans="1:2" x14ac:dyDescent="0.2">
      <c r="A380" t="s">
        <v>379</v>
      </c>
      <c r="B380" t="b">
        <f>ISREF(1)</f>
        <v>0</v>
      </c>
    </row>
    <row r="381" spans="1:2" x14ac:dyDescent="0.2">
      <c r="A381" t="s">
        <v>380</v>
      </c>
      <c r="B381">
        <f>N(Data!B2)</f>
        <v>0</v>
      </c>
    </row>
    <row r="382" spans="1:2" x14ac:dyDescent="0.2">
      <c r="A382" t="s">
        <v>381</v>
      </c>
      <c r="B382">
        <f>SUMPRODUCT((Data!E2:E11="a")*(Data!A2:A11&gt;3))</f>
        <v>3</v>
      </c>
    </row>
    <row r="383" spans="1:2" x14ac:dyDescent="0.2">
      <c r="A383" t="s">
        <v>382</v>
      </c>
      <c r="B383">
        <f>SUMIF(Data!A2:A11,"&gt;"&amp;Data!A3)</f>
        <v>49</v>
      </c>
    </row>
    <row r="384" spans="1:2" x14ac:dyDescent="0.2">
      <c r="A384" t="s">
        <v>383</v>
      </c>
      <c r="B384">
        <f>COUNTIF(Data!D2:D11,"&gt;="&amp;DATE(2024,5,1))</f>
        <v>6</v>
      </c>
    </row>
    <row r="385" spans="1:2" x14ac:dyDescent="0.2">
      <c r="A385" t="s">
        <v>384</v>
      </c>
      <c r="B385" t="str">
        <f>VLOOKUP(2,Data!A2:B11,2,FALSE)</f>
        <v>fig</v>
      </c>
    </row>
    <row r="386" spans="1:2" x14ac:dyDescent="0.2">
      <c r="A386" t="s">
        <v>385</v>
      </c>
      <c r="B386">
        <f>HLOOKUP("Qty",Data!A1:H3,2,FALSE)</f>
        <v>3</v>
      </c>
    </row>
    <row r="387" spans="1:2" x14ac:dyDescent="0.2">
      <c r="A387" t="s">
        <v>386</v>
      </c>
      <c r="B387" t="str">
        <f>LOOKUP(2,{1,2,3},{"a","b","c"})</f>
        <v>b</v>
      </c>
    </row>
    <row r="388" spans="1:2" x14ac:dyDescent="0.2">
      <c r="A388" t="s">
        <v>387</v>
      </c>
      <c r="B388">
        <f>MATCH("b",{"a","b","c"},0)</f>
        <v>2</v>
      </c>
    </row>
    <row r="389" spans="1:2" x14ac:dyDescent="0.2">
      <c r="A389" t="s">
        <v>388</v>
      </c>
      <c r="B389">
        <f>_xlfn.RANK.AVG(5,Data!A2:A11)</f>
        <v>6</v>
      </c>
    </row>
    <row r="390" spans="1:2" x14ac:dyDescent="0.2">
      <c r="A390" t="s">
        <v>389</v>
      </c>
      <c r="B390">
        <f>MEDIAN(Data!C2:C11)</f>
        <v>1</v>
      </c>
    </row>
    <row r="391" spans="1:2" x14ac:dyDescent="0.2">
      <c r="A391" t="s">
        <v>390</v>
      </c>
      <c r="B391">
        <f>MAX(Data!C2:C11,"20")</f>
        <v>20</v>
      </c>
    </row>
    <row r="392" spans="1:2" x14ac:dyDescent="0.2">
      <c r="A392" t="s">
        <v>391</v>
      </c>
      <c r="B392">
        <f>MIN(TRUE,5)</f>
        <v>1</v>
      </c>
    </row>
    <row r="393" spans="1:2" x14ac:dyDescent="0.2">
      <c r="A393" t="s">
        <v>392</v>
      </c>
      <c r="B393">
        <f>AVERAGEA(Data!C2:C6)</f>
        <v>1.75</v>
      </c>
    </row>
    <row r="394" spans="1:2" x14ac:dyDescent="0.2">
      <c r="A394" t="s">
        <v>393</v>
      </c>
      <c r="B394">
        <f>COUNTA(Data!A1:H1,"",1)</f>
        <v>10</v>
      </c>
    </row>
    <row r="395" spans="1:2" x14ac:dyDescent="0.2">
      <c r="A395" t="s">
        <v>394</v>
      </c>
      <c r="B395">
        <f>PRODUCT(Data!C2:C11)</f>
        <v>0</v>
      </c>
    </row>
    <row r="396" spans="1:2" x14ac:dyDescent="0.2">
      <c r="A396" t="s">
        <v>395</v>
      </c>
      <c r="B396">
        <f>ROUND(2.675,2)</f>
        <v>2.68</v>
      </c>
    </row>
    <row r="397" spans="1:2" x14ac:dyDescent="0.2">
      <c r="A397" t="s">
        <v>396</v>
      </c>
      <c r="B397">
        <f>ROUND(-1.005,2)</f>
        <v>-1.01</v>
      </c>
    </row>
    <row r="398" spans="1:2" x14ac:dyDescent="0.2">
      <c r="A398" t="s">
        <v>397</v>
      </c>
      <c r="B398">
        <f>1-0.9</f>
        <v>9.9999999999999978E-2</v>
      </c>
    </row>
    <row r="399" spans="1:2" x14ac:dyDescent="0.2">
      <c r="A399" t="s">
        <v>398</v>
      </c>
      <c r="B399">
        <f>0.1*3</f>
        <v>0.30000000000000004</v>
      </c>
    </row>
    <row r="400" spans="1:2" x14ac:dyDescent="0.2">
      <c r="A400" t="s">
        <v>399</v>
      </c>
      <c r="B400" t="str">
        <f>TEXT(1234.5,"$#,##0.00_);($#,##0.00)")</f>
        <v xml:space="preserve">$1,234.50 </v>
      </c>
    </row>
    <row r="401" spans="1:2" x14ac:dyDescent="0.2">
      <c r="A401" t="s">
        <v>400</v>
      </c>
      <c r="B401" t="str">
        <f>TEXT(0.5,"h:mm AM/PM")</f>
        <v>12:00 PM</v>
      </c>
    </row>
    <row r="402" spans="1:2" x14ac:dyDescent="0.2">
      <c r="A402" t="s">
        <v>401</v>
      </c>
      <c r="B402" t="str">
        <f>TEXT(1234567,"#,##0,")</f>
        <v>1,235</v>
      </c>
    </row>
    <row r="403" spans="1:2" x14ac:dyDescent="0.2">
      <c r="A403" t="s">
        <v>402</v>
      </c>
      <c r="B403" t="str">
        <f>TEXT(0.123,"0.00E+00")</f>
        <v>1.23E-01</v>
      </c>
    </row>
    <row r="404" spans="1:2" x14ac:dyDescent="0.2">
      <c r="A404" t="s">
        <v>403</v>
      </c>
      <c r="B404" t="str">
        <f>TEXT("abc","@")</f>
        <v>abc</v>
      </c>
    </row>
    <row r="405" spans="1:2" x14ac:dyDescent="0.2">
      <c r="A405" t="s">
        <v>404</v>
      </c>
      <c r="B405">
        <f>VALUE("$1,234.50")</f>
        <v>1234.5</v>
      </c>
    </row>
    <row r="406" spans="1:2" x14ac:dyDescent="0.2">
      <c r="A406" t="s">
        <v>405</v>
      </c>
      <c r="B406">
        <f>VALUE("(12)")</f>
        <v>-12</v>
      </c>
    </row>
    <row r="407" spans="1:2" x14ac:dyDescent="0.2">
      <c r="A407" t="s">
        <v>406</v>
      </c>
      <c r="B407">
        <f>VALUE("15%")</f>
        <v>0.15</v>
      </c>
    </row>
    <row r="408" spans="1:2" x14ac:dyDescent="0.2">
      <c r="A408" t="s">
        <v>407</v>
      </c>
      <c r="B408">
        <f>VALUE("13:30")</f>
        <v>0.5625</v>
      </c>
    </row>
    <row r="409" spans="1:2" x14ac:dyDescent="0.2">
      <c r="A409" t="s">
        <v>408</v>
      </c>
      <c r="B409">
        <f>VALUE("Jan 5, 2024")</f>
        <v>45296</v>
      </c>
    </row>
    <row r="410" spans="1:2" x14ac:dyDescent="0.2">
      <c r="A410" t="s">
        <v>409</v>
      </c>
      <c r="B410">
        <f>VALUE("5-Jan-2024")</f>
        <v>45296</v>
      </c>
    </row>
    <row r="411" spans="1:2" x14ac:dyDescent="0.2">
      <c r="A411" t="s">
        <v>410</v>
      </c>
      <c r="B411">
        <f>DATEVALUE("2024/2/29")</f>
        <v>45351</v>
      </c>
    </row>
    <row r="412" spans="1:2" x14ac:dyDescent="0.2">
      <c r="A412" t="s">
        <v>411</v>
      </c>
      <c r="B412" t="e">
        <f>DATEVALUE("2023-02-29")</f>
        <v>#VALUE!</v>
      </c>
    </row>
    <row r="413" spans="1:2" x14ac:dyDescent="0.2">
      <c r="A413" t="s">
        <v>412</v>
      </c>
      <c r="B413">
        <f>TIMEVALUE("6:45 PM")</f>
        <v>0.78125</v>
      </c>
    </row>
    <row r="414" spans="1:2" x14ac:dyDescent="0.2">
      <c r="A414" t="s">
        <v>413</v>
      </c>
      <c r="B414">
        <f>"3/1/2024"-"2/1/2024"</f>
        <v>29</v>
      </c>
    </row>
    <row r="415" spans="1:2" x14ac:dyDescent="0.2">
      <c r="A415" t="s">
        <v>414</v>
      </c>
      <c r="B415">
        <f>WEEKDAY(DATE(1900,1,1))</f>
        <v>1</v>
      </c>
    </row>
    <row r="416" spans="1:2" x14ac:dyDescent="0.2">
      <c r="A416" t="s">
        <v>415</v>
      </c>
      <c r="B416">
        <f>YEAR(60)</f>
        <v>1900</v>
      </c>
    </row>
    <row r="417" spans="1:2" x14ac:dyDescent="0.2">
      <c r="A417" t="s">
        <v>416</v>
      </c>
      <c r="B417">
        <f>DAY(0)</f>
        <v>0</v>
      </c>
    </row>
    <row r="418" spans="1:2" x14ac:dyDescent="0.2">
      <c r="A418" t="s">
        <v>417</v>
      </c>
      <c r="B418">
        <f>WEEKNUM(DATE(2024,12,31),2)</f>
        <v>53</v>
      </c>
    </row>
    <row r="419" spans="1:2" x14ac:dyDescent="0.2">
      <c r="A419" t="s">
        <v>418</v>
      </c>
      <c r="B419">
        <f>WEEKNUM(DATE(2025,1,1),21)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17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>
        <f>1+2*3</f>
        <v>7</v>
      </c>
    </row>
    <row r="13" spans="1:2" x14ac:dyDescent="0.2">
      <c r="A13" t="s">
        <v>1</v>
      </c>
      <c r="B13">
        <f>-2^2</f>
        <v>4</v>
      </c>
    </row>
    <row r="25" spans="1:2" x14ac:dyDescent="0.2">
      <c r="A25" t="s">
        <v>2</v>
      </c>
      <c r="B25">
        <f>2^-1</f>
        <v>0.5</v>
      </c>
    </row>
    <row r="37" spans="1:2" x14ac:dyDescent="0.2">
      <c r="A37" t="s">
        <v>3</v>
      </c>
      <c r="B37">
        <f>10%</f>
        <v>0.1</v>
      </c>
    </row>
    <row r="49" spans="1:2" x14ac:dyDescent="0.2">
      <c r="A49" t="s">
        <v>4</v>
      </c>
      <c r="B49">
        <f>(1+2)%</f>
        <v>0.03</v>
      </c>
    </row>
    <row r="61" spans="1:2" x14ac:dyDescent="0.2">
      <c r="A61" t="s">
        <v>5</v>
      </c>
      <c r="B61">
        <f>"3"*"4"</f>
        <v>12</v>
      </c>
    </row>
    <row r="73" spans="1:2" x14ac:dyDescent="0.2">
      <c r="A73" t="s">
        <v>6</v>
      </c>
      <c r="B73">
        <f>1+"2"</f>
        <v>3</v>
      </c>
    </row>
    <row r="85" spans="1:2" x14ac:dyDescent="0.2">
      <c r="A85" t="s">
        <v>7</v>
      </c>
      <c r="B85" t="str">
        <f>"a"&amp;1&amp;TRUE</f>
        <v>a1TRUE</v>
      </c>
    </row>
    <row r="97" spans="1:2" x14ac:dyDescent="0.2">
      <c r="A97" t="s">
        <v>8</v>
      </c>
      <c r="B97">
        <f>TRUE+1</f>
        <v>2</v>
      </c>
    </row>
    <row r="109" spans="1:2" x14ac:dyDescent="0.2">
      <c r="A109" t="s">
        <v>9</v>
      </c>
      <c r="B109">
        <f>"10%"*2</f>
        <v>0.2</v>
      </c>
    </row>
    <row r="121" spans="1:2" x14ac:dyDescent="0.2">
      <c r="A121" t="s">
        <v>10</v>
      </c>
      <c r="B121" t="b">
        <f>1=1</f>
        <v>1</v>
      </c>
    </row>
    <row r="133" spans="1:2" x14ac:dyDescent="0.2">
      <c r="A133" t="s">
        <v>11</v>
      </c>
      <c r="B133" t="b">
        <f>"A"="a"</f>
        <v>1</v>
      </c>
    </row>
    <row r="145" spans="1:2" x14ac:dyDescent="0.2">
      <c r="A145" t="s">
        <v>12</v>
      </c>
      <c r="B145" t="b">
        <f>1&lt;"a"</f>
        <v>1</v>
      </c>
    </row>
    <row r="157" spans="1:2" x14ac:dyDescent="0.2">
      <c r="A157" t="s">
        <v>13</v>
      </c>
      <c r="B157" t="b">
        <f>TRUE&gt;1</f>
        <v>1</v>
      </c>
    </row>
    <row r="169" spans="1:2" x14ac:dyDescent="0.2">
      <c r="A169" t="s">
        <v>14</v>
      </c>
      <c r="B169" t="b">
        <f>"b"&gt;"A"</f>
        <v>1</v>
      </c>
    </row>
    <row r="181" spans="1:2" x14ac:dyDescent="0.2">
      <c r="A181" t="s">
        <v>15</v>
      </c>
      <c r="B181" t="b">
        <f>Data!C5=""</f>
        <v>1</v>
      </c>
    </row>
    <row r="193" spans="1:2" x14ac:dyDescent="0.2">
      <c r="A193" t="s">
        <v>16</v>
      </c>
      <c r="B193" t="b">
        <f>Data!C5=0</f>
        <v>1</v>
      </c>
    </row>
    <row r="205" spans="1:2" x14ac:dyDescent="0.2">
      <c r="A205" t="s">
        <v>17</v>
      </c>
      <c r="B205">
        <f>Data!C5+1</f>
        <v>1</v>
      </c>
    </row>
    <row r="217" spans="1:2" x14ac:dyDescent="0.2">
      <c r="A217" t="s">
        <v>18</v>
      </c>
      <c r="B217">
        <f>"1/15/2024"+0</f>
        <v>45306</v>
      </c>
    </row>
    <row r="229" spans="1:2" x14ac:dyDescent="0.2">
      <c r="A229" t="s">
        <v>19</v>
      </c>
      <c r="B229">
        <f>"2024-01-15"+1</f>
        <v>45307</v>
      </c>
    </row>
    <row r="241" spans="1:2" x14ac:dyDescent="0.2">
      <c r="A241" t="s">
        <v>20</v>
      </c>
      <c r="B241" t="b">
        <f>0.1+0.2=0.3</f>
        <v>1</v>
      </c>
    </row>
    <row r="253" spans="1:2" x14ac:dyDescent="0.2">
      <c r="A253" t="s">
        <v>21</v>
      </c>
      <c r="B253" t="e">
        <f>9E+307*10</f>
        <v>#NUM!</v>
      </c>
    </row>
    <row r="265" spans="1:2" x14ac:dyDescent="0.2">
      <c r="A265" t="s">
        <v>22</v>
      </c>
      <c r="B265" t="e">
        <f>1/0</f>
        <v>#DIV/0!</v>
      </c>
    </row>
    <row r="277" spans="1:2" x14ac:dyDescent="0.2">
      <c r="A277" t="s">
        <v>23</v>
      </c>
      <c r="B277">
        <f>Data!C2+Data!C3</f>
        <v>3</v>
      </c>
    </row>
    <row r="289" spans="1:2" x14ac:dyDescent="0.2">
      <c r="A289" t="s">
        <v>24</v>
      </c>
      <c r="B289" t="e">
        <f>Data!C2+Data!C7</f>
        <v>#VALUE!</v>
      </c>
    </row>
    <row r="301" spans="1:2" x14ac:dyDescent="0.2">
      <c r="A301" t="s">
        <v>25</v>
      </c>
      <c r="B301" t="e">
        <f>"x"+1</f>
        <v>#VALUE!</v>
      </c>
    </row>
    <row r="313" spans="1:2" x14ac:dyDescent="0.2">
      <c r="A313" t="s">
        <v>26</v>
      </c>
      <c r="B313">
        <f>2^0.5</f>
        <v>1.4142135623730951</v>
      </c>
    </row>
    <row r="325" spans="1:2" x14ac:dyDescent="0.2">
      <c r="A325" t="s">
        <v>27</v>
      </c>
      <c r="B325" cm="1">
        <f t="array" ref="B325:B326">Data!A2:A3*2</f>
        <v>10</v>
      </c>
    </row>
    <row r="326" spans="1:2" x14ac:dyDescent="0.2">
      <c r="B326">
        <v>6</v>
      </c>
    </row>
    <row r="337" spans="1:2" x14ac:dyDescent="0.2">
      <c r="A337" t="s">
        <v>28</v>
      </c>
      <c r="B337">
        <f>SUM(Data!A2:A11)</f>
        <v>55</v>
      </c>
    </row>
    <row r="349" spans="1:2" x14ac:dyDescent="0.2">
      <c r="A349" t="s">
        <v>29</v>
      </c>
      <c r="B349">
        <f>SUM(Data!C2:C11)</f>
        <v>7.5</v>
      </c>
    </row>
    <row r="361" spans="1:2" x14ac:dyDescent="0.2">
      <c r="A361" t="s">
        <v>30</v>
      </c>
      <c r="B361">
        <f>SUM("2",3,TRUE)</f>
        <v>6</v>
      </c>
    </row>
    <row r="373" spans="1:2" x14ac:dyDescent="0.2">
      <c r="A373" t="s">
        <v>31</v>
      </c>
      <c r="B373">
        <f>SUM(Data!A2:A11,100)</f>
        <v>155</v>
      </c>
    </row>
    <row r="385" spans="1:2" x14ac:dyDescent="0.2">
      <c r="A385" t="s">
        <v>32</v>
      </c>
      <c r="B385">
        <f>SUM(Data!A:A)</f>
        <v>55</v>
      </c>
    </row>
    <row r="397" spans="1:2" x14ac:dyDescent="0.2">
      <c r="A397" t="s">
        <v>33</v>
      </c>
      <c r="B397">
        <f>SUM(Nums)</f>
        <v>55</v>
      </c>
    </row>
    <row r="409" spans="1:2" x14ac:dyDescent="0.2">
      <c r="A409" t="s">
        <v>34</v>
      </c>
      <c r="B409">
        <f>SUM(Data!A2:B11)</f>
        <v>55</v>
      </c>
    </row>
    <row r="421" spans="1:2" x14ac:dyDescent="0.2">
      <c r="A421" t="s">
        <v>35</v>
      </c>
      <c r="B421">
        <f>ROUND(2.345,2)</f>
        <v>2.35</v>
      </c>
    </row>
    <row r="433" spans="1:2" x14ac:dyDescent="0.2">
      <c r="A433" t="s">
        <v>36</v>
      </c>
      <c r="B433">
        <f>ROUND(-2.5,0)</f>
        <v>-3</v>
      </c>
    </row>
    <row r="445" spans="1:2" x14ac:dyDescent="0.2">
      <c r="A445" t="s">
        <v>37</v>
      </c>
      <c r="B445">
        <f>ROUND(1234.5,-2)</f>
        <v>1200</v>
      </c>
    </row>
    <row r="457" spans="1:2" x14ac:dyDescent="0.2">
      <c r="A457" t="s">
        <v>38</v>
      </c>
      <c r="B457">
        <f>ROUNDUP(2.341,2)</f>
        <v>2.3499999999999996</v>
      </c>
    </row>
    <row r="469" spans="1:2" x14ac:dyDescent="0.2">
      <c r="A469" t="s">
        <v>39</v>
      </c>
      <c r="B469">
        <f>ROUNDDOWN(-2.349,2)</f>
        <v>-2.34</v>
      </c>
    </row>
    <row r="481" spans="1:2" x14ac:dyDescent="0.2">
      <c r="A481" t="s">
        <v>40</v>
      </c>
      <c r="B481">
        <f>MROUND(17,5)</f>
        <v>15</v>
      </c>
    </row>
    <row r="493" spans="1:2" x14ac:dyDescent="0.2">
      <c r="A493" t="s">
        <v>41</v>
      </c>
      <c r="B493">
        <f>CEILING(4.2,1)</f>
        <v>5</v>
      </c>
    </row>
    <row r="505" spans="1:2" x14ac:dyDescent="0.2">
      <c r="A505" t="s">
        <v>42</v>
      </c>
      <c r="B505">
        <f>FLOOR(4.8,1)</f>
        <v>4</v>
      </c>
    </row>
    <row r="517" spans="1:2" x14ac:dyDescent="0.2">
      <c r="A517" t="s">
        <v>43</v>
      </c>
      <c r="B517">
        <f>_xlfn.CEILING.MATH(-4.2)</f>
        <v>-4</v>
      </c>
    </row>
    <row r="529" spans="1:2" x14ac:dyDescent="0.2">
      <c r="A529" t="s">
        <v>44</v>
      </c>
      <c r="B529">
        <f>_xlfn.FLOOR.MATH(-4.2)</f>
        <v>-5</v>
      </c>
    </row>
    <row r="541" spans="1:2" x14ac:dyDescent="0.2">
      <c r="A541" t="s">
        <v>45</v>
      </c>
      <c r="B541">
        <f>INT(-2.5)</f>
        <v>-3</v>
      </c>
    </row>
    <row r="553" spans="1:2" x14ac:dyDescent="0.2">
      <c r="A553" t="s">
        <v>46</v>
      </c>
      <c r="B553">
        <f>TRUNC(-2.5)</f>
        <v>-2</v>
      </c>
    </row>
    <row r="565" spans="1:2" x14ac:dyDescent="0.2">
      <c r="A565" t="s">
        <v>47</v>
      </c>
      <c r="B565">
        <f>MOD(-7,3)</f>
        <v>2</v>
      </c>
    </row>
    <row r="577" spans="1:2" x14ac:dyDescent="0.2">
      <c r="A577" t="s">
        <v>48</v>
      </c>
      <c r="B577">
        <f>MOD(7,-3)</f>
        <v>-2</v>
      </c>
    </row>
    <row r="589" spans="1:2" x14ac:dyDescent="0.2">
      <c r="A589" t="s">
        <v>49</v>
      </c>
      <c r="B589" t="e">
        <f>MOD(5,0)</f>
        <v>#DIV/0!</v>
      </c>
    </row>
    <row r="601" spans="1:2" x14ac:dyDescent="0.2">
      <c r="A601" t="s">
        <v>50</v>
      </c>
      <c r="B601">
        <f>ABS(-3)</f>
        <v>3</v>
      </c>
    </row>
    <row r="613" spans="1:2" x14ac:dyDescent="0.2">
      <c r="A613" t="s">
        <v>51</v>
      </c>
      <c r="B613">
        <f>SQRT(16)</f>
        <v>4</v>
      </c>
    </row>
    <row r="625" spans="1:2" x14ac:dyDescent="0.2">
      <c r="A625" t="s">
        <v>52</v>
      </c>
      <c r="B625" t="e">
        <f>SQRT(-1)</f>
        <v>#NUM!</v>
      </c>
    </row>
    <row r="637" spans="1:2" x14ac:dyDescent="0.2">
      <c r="A637" t="s">
        <v>53</v>
      </c>
      <c r="B637">
        <f>POWER(2,10)</f>
        <v>1024</v>
      </c>
    </row>
    <row r="649" spans="1:2" x14ac:dyDescent="0.2">
      <c r="A649" t="s">
        <v>54</v>
      </c>
      <c r="B649">
        <f>EXP(1)</f>
        <v>2.7182818284590451</v>
      </c>
    </row>
    <row r="661" spans="1:2" x14ac:dyDescent="0.2">
      <c r="A661" t="s">
        <v>55</v>
      </c>
      <c r="B661">
        <f>LN(10)</f>
        <v>2.3025850929940459</v>
      </c>
    </row>
    <row r="673" spans="1:2" x14ac:dyDescent="0.2">
      <c r="A673" t="s">
        <v>56</v>
      </c>
      <c r="B673">
        <f>LOG(100)</f>
        <v>2</v>
      </c>
    </row>
    <row r="685" spans="1:2" x14ac:dyDescent="0.2">
      <c r="A685" t="s">
        <v>57</v>
      </c>
      <c r="B685">
        <f>LOG(8,2)</f>
        <v>3</v>
      </c>
    </row>
    <row r="697" spans="1:2" x14ac:dyDescent="0.2">
      <c r="A697" t="s">
        <v>58</v>
      </c>
      <c r="B697">
        <f>LOG10(1000)</f>
        <v>3</v>
      </c>
    </row>
    <row r="709" spans="1:2" x14ac:dyDescent="0.2">
      <c r="A709" t="s">
        <v>59</v>
      </c>
      <c r="B709">
        <f>PI()</f>
        <v>3.1415926535897931</v>
      </c>
    </row>
    <row r="721" spans="1:2" x14ac:dyDescent="0.2">
      <c r="A721" t="s">
        <v>60</v>
      </c>
      <c r="B721">
        <f>SIGN(-4)</f>
        <v>-1</v>
      </c>
    </row>
    <row r="733" spans="1:2" x14ac:dyDescent="0.2">
      <c r="A733" t="s">
        <v>61</v>
      </c>
      <c r="B733">
        <f>PRODUCT(Data!A2:A5)</f>
        <v>120</v>
      </c>
    </row>
    <row r="745" spans="1:2" x14ac:dyDescent="0.2">
      <c r="A745" t="s">
        <v>62</v>
      </c>
      <c r="B745">
        <f>SUMPRODUCT(Data!G2:G11,Data!H2:H11)</f>
        <v>168.7</v>
      </c>
    </row>
    <row r="757" spans="1:2" x14ac:dyDescent="0.2">
      <c r="A757" t="s">
        <v>63</v>
      </c>
      <c r="B757">
        <f>SUMPRODUCT((Data!E2:E11="a")*Data!A2:A11)</f>
        <v>19</v>
      </c>
    </row>
    <row r="769" spans="1:2" x14ac:dyDescent="0.2">
      <c r="A769" t="s">
        <v>64</v>
      </c>
      <c r="B769">
        <f>SUMSQ(1,2,3)</f>
        <v>14</v>
      </c>
    </row>
    <row r="781" spans="1:2" x14ac:dyDescent="0.2">
      <c r="A781" t="s">
        <v>65</v>
      </c>
      <c r="B781">
        <f>QUOTIENT(-7,2)</f>
        <v>-3</v>
      </c>
    </row>
    <row r="793" spans="1:2" x14ac:dyDescent="0.2">
      <c r="A793" t="s">
        <v>66</v>
      </c>
      <c r="B793">
        <f>GCD(12,18)</f>
        <v>6</v>
      </c>
    </row>
    <row r="805" spans="1:2" x14ac:dyDescent="0.2">
      <c r="A805" t="s">
        <v>67</v>
      </c>
      <c r="B805">
        <f>LCM(4,6)</f>
        <v>12</v>
      </c>
    </row>
    <row r="817" spans="1:2" x14ac:dyDescent="0.2">
      <c r="A817" t="s">
        <v>68</v>
      </c>
      <c r="B817">
        <f>FACT(5)</f>
        <v>120</v>
      </c>
    </row>
    <row r="829" spans="1:2" x14ac:dyDescent="0.2">
      <c r="A829" t="s">
        <v>69</v>
      </c>
      <c r="B829">
        <f>COMBIN(5,2)</f>
        <v>10</v>
      </c>
    </row>
    <row r="841" spans="1:2" x14ac:dyDescent="0.2">
      <c r="A841" t="s">
        <v>70</v>
      </c>
      <c r="B841">
        <f>PERMUT(5,2)</f>
        <v>20</v>
      </c>
    </row>
    <row r="853" spans="1:2" x14ac:dyDescent="0.2">
      <c r="A853" t="s">
        <v>71</v>
      </c>
      <c r="B853">
        <f>EVEN(3)</f>
        <v>4</v>
      </c>
    </row>
    <row r="865" spans="1:2" x14ac:dyDescent="0.2">
      <c r="A865" t="s">
        <v>72</v>
      </c>
      <c r="B865">
        <f>ODD(-2)</f>
        <v>-3</v>
      </c>
    </row>
    <row r="877" spans="1:2" x14ac:dyDescent="0.2">
      <c r="A877" t="s">
        <v>73</v>
      </c>
      <c r="B877" t="str">
        <f>ROMAN(1999)</f>
        <v>MCMXCIX</v>
      </c>
    </row>
    <row r="889" spans="1:2" x14ac:dyDescent="0.2">
      <c r="A889" t="s">
        <v>74</v>
      </c>
      <c r="B889">
        <f>_xlfn.ARABIC("MCMXCIX")</f>
        <v>1999</v>
      </c>
    </row>
    <row r="901" spans="1:2" x14ac:dyDescent="0.2">
      <c r="A901" t="s">
        <v>75</v>
      </c>
      <c r="B901" t="str">
        <f>_xlfn.BASE(255,16)</f>
        <v>FF</v>
      </c>
    </row>
    <row r="913" spans="1:2" x14ac:dyDescent="0.2">
      <c r="A913" t="s">
        <v>76</v>
      </c>
      <c r="B913">
        <f>_xlfn.DECIMAL("FF",16)</f>
        <v>255</v>
      </c>
    </row>
    <row r="925" spans="1:2" x14ac:dyDescent="0.2">
      <c r="A925" t="s">
        <v>77</v>
      </c>
      <c r="B925">
        <f>SUMIF(Data!A2:A11,"&gt;5")</f>
        <v>40</v>
      </c>
    </row>
    <row r="937" spans="1:2" x14ac:dyDescent="0.2">
      <c r="A937" t="s">
        <v>78</v>
      </c>
      <c r="B937">
        <f>SUMIF(Data!E2:E11,"a",Data!A2:A11)</f>
        <v>19</v>
      </c>
    </row>
    <row r="949" spans="1:2" x14ac:dyDescent="0.2">
      <c r="A949" t="s">
        <v>79</v>
      </c>
      <c r="B949">
        <f>SUMIF(Data!B2:B11,"*e*",Data!A2:A11)</f>
        <v>44</v>
      </c>
    </row>
    <row r="961" spans="1:2" x14ac:dyDescent="0.2">
      <c r="A961" t="s">
        <v>80</v>
      </c>
      <c r="B961">
        <f>SUMIF(Data!C2:C11,"&lt;&gt;2")</f>
        <v>7.5</v>
      </c>
    </row>
    <row r="973" spans="1:2" x14ac:dyDescent="0.2">
      <c r="A973" t="s">
        <v>81</v>
      </c>
      <c r="B973">
        <f>SUMIFS(Data!A2:A11,Data!E2:E11,"b",Data!A2:A11,"&gt;=6")</f>
        <v>15</v>
      </c>
    </row>
    <row r="985" spans="1:2" x14ac:dyDescent="0.2">
      <c r="A985" t="s">
        <v>82</v>
      </c>
      <c r="B985">
        <f>COUNTIF(Data!C2:C11,"")</f>
        <v>1</v>
      </c>
    </row>
    <row r="997" spans="1:2" x14ac:dyDescent="0.2">
      <c r="A997" t="s">
        <v>83</v>
      </c>
      <c r="B997">
        <f>COUNTIF(Data!C2:C11,"=")</f>
        <v>1</v>
      </c>
    </row>
    <row r="1009" spans="1:2" x14ac:dyDescent="0.2">
      <c r="A1009" t="s">
        <v>84</v>
      </c>
      <c r="B1009">
        <f>COUNTIF(Data!C2:C11,"&lt;&gt;")</f>
        <v>9</v>
      </c>
    </row>
    <row r="1021" spans="1:2" x14ac:dyDescent="0.2">
      <c r="A1021" t="s">
        <v>85</v>
      </c>
      <c r="B1021">
        <f>COUNTIF(Data!B2:B11,"?ig")</f>
        <v>1</v>
      </c>
    </row>
    <row r="1033" spans="1:2" x14ac:dyDescent="0.2">
      <c r="A1033" t="s">
        <v>86</v>
      </c>
      <c r="B1033">
        <f>COUNTIF(Data!A2:A11,5)</f>
        <v>1</v>
      </c>
    </row>
    <row r="1045" spans="1:2" x14ac:dyDescent="0.2">
      <c r="A1045" t="s">
        <v>87</v>
      </c>
      <c r="B1045">
        <f>COUNTIF(Data!C2:C11,"2")</f>
        <v>1</v>
      </c>
    </row>
    <row r="1057" spans="1:2" x14ac:dyDescent="0.2">
      <c r="A1057" t="s">
        <v>88</v>
      </c>
      <c r="B1057">
        <f>COUNTIFS(Data!E2:E11,"a",Data!A2:A11,"&lt;5")</f>
        <v>2</v>
      </c>
    </row>
    <row r="1069" spans="1:2" x14ac:dyDescent="0.2">
      <c r="A1069" t="s">
        <v>89</v>
      </c>
      <c r="B1069">
        <f>AVERAGEIF(Data!E2:E11,"c",Data!A2:A11)</f>
        <v>6</v>
      </c>
    </row>
    <row r="1081" spans="1:2" x14ac:dyDescent="0.2">
      <c r="A1081" t="s">
        <v>90</v>
      </c>
      <c r="B1081">
        <f>AVERAGEIFS(Data!A2:A11,Data!E2:E11,"a")</f>
        <v>4.75</v>
      </c>
    </row>
    <row r="1093" spans="1:2" x14ac:dyDescent="0.2">
      <c r="A1093" t="s">
        <v>91</v>
      </c>
      <c r="B1093">
        <f>_xlfn.MAXIFS(Data!A2:A11,Data!E2:E11,"b")</f>
        <v>9</v>
      </c>
    </row>
    <row r="1105" spans="1:2" x14ac:dyDescent="0.2">
      <c r="A1105" t="s">
        <v>92</v>
      </c>
      <c r="B1105">
        <f>_xlfn.MINIFS(Data!A2:A11,Data!E2:E11,"b")</f>
        <v>3</v>
      </c>
    </row>
    <row r="1117" spans="1:2" x14ac:dyDescent="0.2">
      <c r="A1117" t="s">
        <v>93</v>
      </c>
      <c r="B1117">
        <f>SUBTOTAL(9,Data!A2:A11)</f>
        <v>55</v>
      </c>
    </row>
    <row r="1129" spans="1:2" x14ac:dyDescent="0.2">
      <c r="A1129" t="s">
        <v>94</v>
      </c>
      <c r="B1129">
        <f>SUBTOTAL(1,Data!A2:A11)</f>
        <v>5.5</v>
      </c>
    </row>
    <row r="1141" spans="1:2" x14ac:dyDescent="0.2">
      <c r="A1141" t="s">
        <v>95</v>
      </c>
      <c r="B1141">
        <f>_xlfn.AGGREGATE(9,6,Data!A2:A11)</f>
        <v>55</v>
      </c>
    </row>
    <row r="1153" spans="1:2" x14ac:dyDescent="0.2">
      <c r="A1153" t="s">
        <v>96</v>
      </c>
      <c r="B1153">
        <f>AVERAGE(Data!A2:A11)</f>
        <v>5.5</v>
      </c>
    </row>
    <row r="1165" spans="1:2" x14ac:dyDescent="0.2">
      <c r="A1165" t="s">
        <v>97</v>
      </c>
      <c r="B1165">
        <f>AVERAGE(Data!C2:C11)</f>
        <v>1.5</v>
      </c>
    </row>
    <row r="1177" spans="1:2" x14ac:dyDescent="0.2">
      <c r="A1177" t="s">
        <v>98</v>
      </c>
      <c r="B1177">
        <f>AVERAGEA(Data!C2:C11)</f>
        <v>0.94444444444444442</v>
      </c>
    </row>
    <row r="1189" spans="1:2" x14ac:dyDescent="0.2">
      <c r="A1189" t="s">
        <v>99</v>
      </c>
      <c r="B1189">
        <f>AVERAGE(1,"2",TRUE)</f>
        <v>1.3333333333333333</v>
      </c>
    </row>
    <row r="1201" spans="1:2" x14ac:dyDescent="0.2">
      <c r="A1201" t="s">
        <v>100</v>
      </c>
      <c r="B1201">
        <f>COUNT(Data!C2:C11)</f>
        <v>5</v>
      </c>
    </row>
    <row r="1213" spans="1:2" x14ac:dyDescent="0.2">
      <c r="A1213" t="s">
        <v>101</v>
      </c>
      <c r="B1213">
        <f>COUNTA(Data!C2:C11)</f>
        <v>9</v>
      </c>
    </row>
    <row r="1225" spans="1:2" x14ac:dyDescent="0.2">
      <c r="A1225" t="s">
        <v>102</v>
      </c>
      <c r="B1225">
        <f>COUNTBLANK(Data!C2:C11)</f>
        <v>1</v>
      </c>
    </row>
    <row r="1237" spans="1:2" x14ac:dyDescent="0.2">
      <c r="A1237" t="s">
        <v>103</v>
      </c>
      <c r="B1237">
        <f>COUNT(1,"2",TRUE,"x")</f>
        <v>3</v>
      </c>
    </row>
    <row r="1249" spans="1:2" x14ac:dyDescent="0.2">
      <c r="A1249" t="s">
        <v>104</v>
      </c>
      <c r="B1249">
        <f>MAX(Data!A2:A11)</f>
        <v>10</v>
      </c>
    </row>
    <row r="1261" spans="1:2" x14ac:dyDescent="0.2">
      <c r="A1261" t="s">
        <v>105</v>
      </c>
      <c r="B1261">
        <f>MIN(Data!C2:C11)</f>
        <v>-2</v>
      </c>
    </row>
    <row r="1273" spans="1:2" x14ac:dyDescent="0.2">
      <c r="A1273" t="s">
        <v>106</v>
      </c>
      <c r="B1273">
        <f>MAXA(Data!C2:C11)</f>
        <v>5</v>
      </c>
    </row>
    <row r="1285" spans="1:2" x14ac:dyDescent="0.2">
      <c r="A1285" t="s">
        <v>107</v>
      </c>
      <c r="B1285">
        <f>MEDIAN(Data!A2:A11)</f>
        <v>5.5</v>
      </c>
    </row>
    <row r="1297" spans="1:2" x14ac:dyDescent="0.2">
      <c r="A1297" t="s">
        <v>108</v>
      </c>
      <c r="B1297">
        <f>_xlfn.MODE.SNGL(1,2,2,3)</f>
        <v>2</v>
      </c>
    </row>
    <row r="1309" spans="1:2" x14ac:dyDescent="0.2">
      <c r="A1309" t="s">
        <v>109</v>
      </c>
      <c r="B1309">
        <f>_xlfn.STDEV.S(Data!A2:A11)</f>
        <v>3.0276503540974917</v>
      </c>
    </row>
    <row r="1321" spans="1:2" x14ac:dyDescent="0.2">
      <c r="A1321" t="s">
        <v>110</v>
      </c>
      <c r="B1321">
        <f>_xlfn.STDEV.P(Data!A2:A11)</f>
        <v>2.8722813232690143</v>
      </c>
    </row>
    <row r="1333" spans="1:2" x14ac:dyDescent="0.2">
      <c r="A1333" t="s">
        <v>111</v>
      </c>
      <c r="B1333">
        <f>_xlfn.VAR.S(Data!A2:A11)</f>
        <v>9.1666666666666661</v>
      </c>
    </row>
    <row r="1345" spans="1:2" x14ac:dyDescent="0.2">
      <c r="A1345" t="s">
        <v>112</v>
      </c>
      <c r="B1345">
        <f>_xlfn.VAR.P(Data!A2:A11)</f>
        <v>8.25</v>
      </c>
    </row>
    <row r="1357" spans="1:2" x14ac:dyDescent="0.2">
      <c r="A1357" t="s">
        <v>113</v>
      </c>
      <c r="B1357">
        <f>LARGE(Data!A2:A11,2)</f>
        <v>9</v>
      </c>
    </row>
    <row r="1369" spans="1:2" x14ac:dyDescent="0.2">
      <c r="A1369" t="s">
        <v>114</v>
      </c>
      <c r="B1369">
        <f>SMALL(Data!A2:A11,3)</f>
        <v>3</v>
      </c>
    </row>
    <row r="1381" spans="1:2" x14ac:dyDescent="0.2">
      <c r="A1381" t="s">
        <v>115</v>
      </c>
      <c r="B1381">
        <f>_xlfn.RANK.EQ(7,Data!A2:A11)</f>
        <v>4</v>
      </c>
    </row>
    <row r="1393" spans="1:2" x14ac:dyDescent="0.2">
      <c r="A1393" t="s">
        <v>116</v>
      </c>
      <c r="B1393">
        <f>_xlfn.RANK.EQ(7,Data!A2:A11,1)</f>
        <v>7</v>
      </c>
    </row>
    <row r="1405" spans="1:2" x14ac:dyDescent="0.2">
      <c r="A1405" t="s">
        <v>117</v>
      </c>
      <c r="B1405">
        <f>_xlfn.PERCENTILE.INC(Data!A2:A11,0.3)</f>
        <v>3.6999999999999997</v>
      </c>
    </row>
    <row r="1417" spans="1:2" x14ac:dyDescent="0.2">
      <c r="A1417" t="s">
        <v>118</v>
      </c>
      <c r="B1417">
        <f>_xlfn.PERCENTILE.EXC(Data!A2:A11,0.3)</f>
        <v>3.3</v>
      </c>
    </row>
    <row r="1429" spans="1:2" x14ac:dyDescent="0.2">
      <c r="A1429" t="s">
        <v>119</v>
      </c>
      <c r="B1429">
        <f>_xlfn.QUARTILE.INC(Data!A2:A11,1)</f>
        <v>3.25</v>
      </c>
    </row>
    <row r="1441" spans="1:2" x14ac:dyDescent="0.2">
      <c r="A1441" t="s">
        <v>120</v>
      </c>
      <c r="B1441">
        <f>CORREL(Data!A2:A11,Data!F2:F11)</f>
        <v>0.34545454545454546</v>
      </c>
    </row>
    <row r="1453" spans="1:2" x14ac:dyDescent="0.2">
      <c r="A1453" t="s">
        <v>121</v>
      </c>
      <c r="B1453">
        <f>_xlfn.FORECAST.LINEAR(11,Data!F2:F11,Data!A2:A11)</f>
        <v>74</v>
      </c>
    </row>
    <row r="1465" spans="1:2" x14ac:dyDescent="0.2">
      <c r="A1465" t="s">
        <v>122</v>
      </c>
      <c r="B1465">
        <f>SLOPE(Data!F2:F11,Data!A2:A11)</f>
        <v>3.4545454545454546</v>
      </c>
    </row>
    <row r="1477" spans="1:2" x14ac:dyDescent="0.2">
      <c r="A1477" t="s">
        <v>123</v>
      </c>
      <c r="B1477">
        <f>INTERCEPT(Data!F2:F11,Data!A2:A11)</f>
        <v>36</v>
      </c>
    </row>
    <row r="1489" spans="1:2" x14ac:dyDescent="0.2">
      <c r="A1489" t="s">
        <v>124</v>
      </c>
      <c r="B1489">
        <f>_xlfn.NORM.DIST(1,0,1,TRUE)</f>
        <v>0.84134474606854304</v>
      </c>
    </row>
    <row r="1501" spans="1:2" x14ac:dyDescent="0.2">
      <c r="A1501" t="s">
        <v>125</v>
      </c>
      <c r="B1501">
        <f>_xlfn.NORM.S.INV(0.975)</f>
        <v>1.9599639845400536</v>
      </c>
    </row>
    <row r="1513" spans="1:2" x14ac:dyDescent="0.2">
      <c r="A1513" t="s">
        <v>126</v>
      </c>
      <c r="B1513">
        <f>GEOMEAN(Data!A2:A11)</f>
        <v>4.5287286881167645</v>
      </c>
    </row>
    <row r="1525" spans="1:2" x14ac:dyDescent="0.2">
      <c r="A1525" t="s">
        <v>127</v>
      </c>
      <c r="B1525" t="e">
        <f>AVERAGE(Data!C5)</f>
        <v>#DIV/0!</v>
      </c>
    </row>
    <row r="1537" spans="1:2" x14ac:dyDescent="0.2">
      <c r="A1537" t="s">
        <v>128</v>
      </c>
      <c r="B1537" t="str">
        <f>LEFT("Hello",2)</f>
        <v>He</v>
      </c>
    </row>
    <row r="1549" spans="1:2" x14ac:dyDescent="0.2">
      <c r="A1549" t="s">
        <v>129</v>
      </c>
      <c r="B1549" t="str">
        <f>RIGHT("Hello",3)</f>
        <v>llo</v>
      </c>
    </row>
    <row r="1561" spans="1:2" x14ac:dyDescent="0.2">
      <c r="A1561" t="s">
        <v>130</v>
      </c>
      <c r="B1561" t="str">
        <f>MID("Hello",2,3)</f>
        <v>ell</v>
      </c>
    </row>
    <row r="1573" spans="1:2" x14ac:dyDescent="0.2">
      <c r="A1573" t="s">
        <v>131</v>
      </c>
      <c r="B1573">
        <f>LEN("Héllo")</f>
        <v>5</v>
      </c>
    </row>
    <row r="1585" spans="1:2" x14ac:dyDescent="0.2">
      <c r="A1585" t="s">
        <v>132</v>
      </c>
      <c r="B1585" t="str">
        <f>UPPER("abc")</f>
        <v>ABC</v>
      </c>
    </row>
    <row r="1597" spans="1:2" x14ac:dyDescent="0.2">
      <c r="A1597" t="s">
        <v>133</v>
      </c>
      <c r="B1597" t="str">
        <f>LOWER("ABC")</f>
        <v>abc</v>
      </c>
    </row>
    <row r="1609" spans="1:2" x14ac:dyDescent="0.2">
      <c r="A1609" t="s">
        <v>134</v>
      </c>
      <c r="B1609" t="str">
        <f>PROPER("hello wORLD o'neil")</f>
        <v>Hello World O'Neil</v>
      </c>
    </row>
    <row r="1621" spans="1:2" x14ac:dyDescent="0.2">
      <c r="A1621" t="s">
        <v>135</v>
      </c>
      <c r="B1621" t="str">
        <f>TRIM("  a   b  ")</f>
        <v>a b</v>
      </c>
    </row>
    <row r="1633" spans="1:2" x14ac:dyDescent="0.2">
      <c r="A1633" t="s">
        <v>136</v>
      </c>
      <c r="B1633" t="str">
        <f>SUBSTITUTE("a-b-c","-","+")</f>
        <v>a+b+c</v>
      </c>
    </row>
    <row r="1645" spans="1:2" x14ac:dyDescent="0.2">
      <c r="A1645" t="s">
        <v>137</v>
      </c>
      <c r="B1645" t="str">
        <f>SUBSTITUTE("a-b-c","-","+",2)</f>
        <v>a-b+c</v>
      </c>
    </row>
    <row r="1657" spans="1:2" x14ac:dyDescent="0.2">
      <c r="A1657" t="s">
        <v>138</v>
      </c>
      <c r="B1657" t="str">
        <f>REPLACE("abcdef",2,3,"X")</f>
        <v>aXef</v>
      </c>
    </row>
    <row r="1669" spans="1:2" x14ac:dyDescent="0.2">
      <c r="A1669" t="s">
        <v>139</v>
      </c>
      <c r="B1669">
        <f>FIND("b","abcB")</f>
        <v>2</v>
      </c>
    </row>
    <row r="1681" spans="1:2" x14ac:dyDescent="0.2">
      <c r="A1681" t="s">
        <v>140</v>
      </c>
      <c r="B1681" t="e">
        <f>FIND("z","abc")</f>
        <v>#VALUE!</v>
      </c>
    </row>
    <row r="1693" spans="1:2" x14ac:dyDescent="0.2">
      <c r="A1693" t="s">
        <v>141</v>
      </c>
      <c r="B1693">
        <f>SEARCH("B","abcB")</f>
        <v>2</v>
      </c>
    </row>
    <row r="1705" spans="1:2" x14ac:dyDescent="0.2">
      <c r="A1705" t="s">
        <v>142</v>
      </c>
      <c r="B1705">
        <f>SEARCH("c?e","abcdef")</f>
        <v>3</v>
      </c>
    </row>
    <row r="1717" spans="1:2" x14ac:dyDescent="0.2">
      <c r="A1717" t="s">
        <v>143</v>
      </c>
      <c r="B1717" t="str">
        <f>TEXT(1234.567,"#,##0.00")</f>
        <v>1,234.57</v>
      </c>
    </row>
    <row r="1729" spans="1:2" x14ac:dyDescent="0.2">
      <c r="A1729" t="s">
        <v>144</v>
      </c>
      <c r="B1729" t="str">
        <f>TEXT(0.256,"0.0%")</f>
        <v>25.6%</v>
      </c>
    </row>
    <row r="1741" spans="1:2" x14ac:dyDescent="0.2">
      <c r="A1741" t="s">
        <v>145</v>
      </c>
      <c r="B1741" t="str">
        <f>TEXT(45292,"yyyy-mm-dd")</f>
        <v>2024-01-01</v>
      </c>
    </row>
    <row r="1753" spans="1:2" x14ac:dyDescent="0.2">
      <c r="A1753" t="s">
        <v>146</v>
      </c>
      <c r="B1753" t="str">
        <f>TEXT(45292,"mmm d, yyyy")</f>
        <v>Jan 1, 2024</v>
      </c>
    </row>
    <row r="1765" spans="1:2" x14ac:dyDescent="0.2">
      <c r="A1765" t="s">
        <v>147</v>
      </c>
      <c r="B1765" t="str">
        <f>TEXT(45292,"dddd")</f>
        <v>Monday</v>
      </c>
    </row>
    <row r="1777" spans="1:2" x14ac:dyDescent="0.2">
      <c r="A1777" t="s">
        <v>148</v>
      </c>
      <c r="B1777" t="str">
        <f>TEXT(-1234.5,"$#,##0.00")</f>
        <v>-$1,234.50</v>
      </c>
    </row>
    <row r="1789" spans="1:2" x14ac:dyDescent="0.2">
      <c r="A1789" t="s">
        <v>149</v>
      </c>
      <c r="B1789" t="str">
        <f>TEXT(5,"000")</f>
        <v>005</v>
      </c>
    </row>
    <row r="1801" spans="1:2" x14ac:dyDescent="0.2">
      <c r="A1801" t="s">
        <v>150</v>
      </c>
      <c r="B1801">
        <f>VALUE("12.5")</f>
        <v>12.5</v>
      </c>
    </row>
    <row r="1813" spans="1:2" x14ac:dyDescent="0.2">
      <c r="A1813" t="s">
        <v>151</v>
      </c>
      <c r="B1813">
        <f>VALUE("1,234")</f>
        <v>1234</v>
      </c>
    </row>
    <row r="1825" spans="1:2" x14ac:dyDescent="0.2">
      <c r="A1825" t="s">
        <v>152</v>
      </c>
      <c r="B1825" t="e">
        <f>VALUE("abc")</f>
        <v>#VALUE!</v>
      </c>
    </row>
    <row r="1837" spans="1:2" x14ac:dyDescent="0.2">
      <c r="A1837" t="s">
        <v>153</v>
      </c>
      <c r="B1837" t="str">
        <f>_xlfn.CONCAT(Data!E2:E5)</f>
        <v>abac</v>
      </c>
    </row>
    <row r="1849" spans="1:2" x14ac:dyDescent="0.2">
      <c r="A1849" t="s">
        <v>154</v>
      </c>
      <c r="B1849" t="str">
        <f>CONCATENATE("a",1,TRUE)</f>
        <v>a1TRUE</v>
      </c>
    </row>
    <row r="1861" spans="1:2" x14ac:dyDescent="0.2">
      <c r="A1861" t="s">
        <v>155</v>
      </c>
      <c r="B1861" t="str">
        <f>_xlfn.TEXTJOIN(", ",TRUE,Data!C2:C6)</f>
        <v>1, 2, TRUE, 5</v>
      </c>
    </row>
    <row r="1873" spans="1:2" x14ac:dyDescent="0.2">
      <c r="A1873" t="s">
        <v>156</v>
      </c>
      <c r="B1873" t="str">
        <f>_xlfn.TEXTJOIN("-",FALSE,"a","","b")</f>
        <v>a--b</v>
      </c>
    </row>
    <row r="1885" spans="1:2" x14ac:dyDescent="0.2">
      <c r="A1885" t="s">
        <v>157</v>
      </c>
      <c r="B1885" t="str">
        <f>REPT("ab",3)</f>
        <v>ababab</v>
      </c>
    </row>
    <row r="1897" spans="1:2" x14ac:dyDescent="0.2">
      <c r="A1897" t="s">
        <v>158</v>
      </c>
      <c r="B1897" t="b">
        <f>EXACT("a","A")</f>
        <v>0</v>
      </c>
    </row>
    <row r="1909" spans="1:2" x14ac:dyDescent="0.2">
      <c r="A1909" t="s">
        <v>159</v>
      </c>
      <c r="B1909" t="str">
        <f>CHAR(65)</f>
        <v>A</v>
      </c>
    </row>
    <row r="1921" spans="1:2" x14ac:dyDescent="0.2">
      <c r="A1921" t="s">
        <v>160</v>
      </c>
      <c r="B1921">
        <f>CODE("A")</f>
        <v>65</v>
      </c>
    </row>
    <row r="1933" spans="1:2" x14ac:dyDescent="0.2">
      <c r="A1933" t="s">
        <v>161</v>
      </c>
      <c r="B1933" t="str">
        <f>CLEAN("a"&amp;CHAR(7)&amp;"b")</f>
        <v>ab</v>
      </c>
    </row>
    <row r="1945" spans="1:2" x14ac:dyDescent="0.2">
      <c r="A1945" t="s">
        <v>162</v>
      </c>
      <c r="B1945" t="str">
        <f>FIXED(1234.567,1)</f>
        <v>1,234.6</v>
      </c>
    </row>
    <row r="1957" spans="1:2" x14ac:dyDescent="0.2">
      <c r="A1957" t="s">
        <v>163</v>
      </c>
      <c r="B1957" t="str">
        <f>DOLLAR(1234.567)</f>
        <v>$1,234.57</v>
      </c>
    </row>
    <row r="1969" spans="1:2" x14ac:dyDescent="0.2">
      <c r="A1969" t="s">
        <v>164</v>
      </c>
      <c r="B1969">
        <f>_xlfn.NUMBERVALUE("1.234,5",",",".")</f>
        <v>1234.5</v>
      </c>
    </row>
    <row r="1981" spans="1:2" x14ac:dyDescent="0.2">
      <c r="A1981" t="s">
        <v>165</v>
      </c>
      <c r="B1981" t="str">
        <f>T(123)</f>
        <v/>
      </c>
    </row>
    <row r="1993" spans="1:2" x14ac:dyDescent="0.2">
      <c r="A1993" t="s">
        <v>166</v>
      </c>
      <c r="B1993" t="str">
        <f>T("abc")</f>
        <v>abc</v>
      </c>
    </row>
    <row r="2005" spans="1:2" x14ac:dyDescent="0.2">
      <c r="A2005" t="s">
        <v>167</v>
      </c>
      <c r="B2005">
        <f>N(TRUE)</f>
        <v>1</v>
      </c>
    </row>
    <row r="2017" spans="1:2" x14ac:dyDescent="0.2">
      <c r="A2017" t="s">
        <v>168</v>
      </c>
      <c r="B2017">
        <f>N("abc")</f>
        <v>0</v>
      </c>
    </row>
    <row r="2029" spans="1:2" x14ac:dyDescent="0.2">
      <c r="A2029" t="s">
        <v>169</v>
      </c>
      <c r="B2029" t="str">
        <f>_xlfn.TEXTBEFORE("a-b-c","-")</f>
        <v>a</v>
      </c>
    </row>
    <row r="2041" spans="1:2" x14ac:dyDescent="0.2">
      <c r="A2041" t="s">
        <v>170</v>
      </c>
      <c r="B2041" t="str">
        <f>_xlfn.TEXTAFTER("a-b-c","-",2)</f>
        <v>c</v>
      </c>
    </row>
    <row r="2053" spans="1:2" x14ac:dyDescent="0.2">
      <c r="A2053" t="s">
        <v>171</v>
      </c>
      <c r="B2053" t="str">
        <f>LEFT(Data!B3)</f>
        <v>B</v>
      </c>
    </row>
    <row r="2065" spans="1:2" x14ac:dyDescent="0.2">
      <c r="A2065" t="s">
        <v>172</v>
      </c>
      <c r="B2065">
        <f>LEN(Data!A2)</f>
        <v>1</v>
      </c>
    </row>
    <row r="2077" spans="1:2" x14ac:dyDescent="0.2">
      <c r="A2077" t="s">
        <v>173</v>
      </c>
      <c r="B2077" t="str">
        <f>Data!B2&amp;" x"&amp;Data!A2</f>
        <v>apple x5</v>
      </c>
    </row>
    <row r="2089" spans="1:2" x14ac:dyDescent="0.2">
      <c r="A2089" t="s">
        <v>174</v>
      </c>
      <c r="B2089" t="str">
        <f>IF(Data!A2&gt;4,"big","small")</f>
        <v>big</v>
      </c>
    </row>
    <row r="2101" spans="1:2" x14ac:dyDescent="0.2">
      <c r="A2101" t="s">
        <v>175</v>
      </c>
      <c r="B2101" t="str">
        <f>IF(Data!C5,"yes","no")</f>
        <v>no</v>
      </c>
    </row>
    <row r="2113" spans="1:2" x14ac:dyDescent="0.2">
      <c r="A2113" t="s">
        <v>176</v>
      </c>
      <c r="B2113">
        <f>IF("TRUE",1,2)</f>
        <v>1</v>
      </c>
    </row>
    <row r="2125" spans="1:2" x14ac:dyDescent="0.2">
      <c r="A2125" t="s">
        <v>177</v>
      </c>
      <c r="B2125" t="str">
        <f>IF(1,"one")</f>
        <v>one</v>
      </c>
    </row>
    <row r="2137" spans="1:2" x14ac:dyDescent="0.2">
      <c r="A2137" t="s">
        <v>178</v>
      </c>
      <c r="B2137" t="b">
        <f>IF(0,"one")</f>
        <v>0</v>
      </c>
    </row>
    <row r="2149" spans="1:2" x14ac:dyDescent="0.2">
      <c r="A2149" t="s">
        <v>179</v>
      </c>
      <c r="B2149" t="str">
        <f>_xlfn.IFS(Data!A2&gt;8,"a",Data!A2&gt;4,"b",TRUE,"c")</f>
        <v>b</v>
      </c>
    </row>
    <row r="2161" spans="1:2" x14ac:dyDescent="0.2">
      <c r="A2161" t="s">
        <v>180</v>
      </c>
      <c r="B2161" t="e">
        <f>_xlfn.IFS(FALSE,1)</f>
        <v>#N/A</v>
      </c>
    </row>
    <row r="2173" spans="1:2" x14ac:dyDescent="0.2">
      <c r="A2173" t="s">
        <v>181</v>
      </c>
      <c r="B2173" t="b">
        <f>AND(TRUE,1,Data!C2:C11)</f>
        <v>0</v>
      </c>
    </row>
    <row r="2185" spans="1:2" x14ac:dyDescent="0.2">
      <c r="A2185" t="s">
        <v>182</v>
      </c>
      <c r="B2185" t="e">
        <f>AND(Data!B2:B3)</f>
        <v>#VALUE!</v>
      </c>
    </row>
    <row r="2197" spans="1:2" x14ac:dyDescent="0.2">
      <c r="A2197" t="s">
        <v>183</v>
      </c>
      <c r="B2197" t="b">
        <f>OR(FALSE,0)</f>
        <v>0</v>
      </c>
    </row>
    <row r="2209" spans="1:2" x14ac:dyDescent="0.2">
      <c r="A2209" t="s">
        <v>184</v>
      </c>
      <c r="B2209" t="b">
        <f>_xlfn.XOR(TRUE,TRUE,TRUE)</f>
        <v>1</v>
      </c>
    </row>
    <row r="2221" spans="1:2" x14ac:dyDescent="0.2">
      <c r="A2221" t="s">
        <v>185</v>
      </c>
      <c r="B2221" t="b">
        <f>NOT(0)</f>
        <v>1</v>
      </c>
    </row>
    <row r="2233" spans="1:2" x14ac:dyDescent="0.2">
      <c r="A2233" t="s">
        <v>186</v>
      </c>
      <c r="B2233" t="str">
        <f>IFERROR(1/0,"div")</f>
        <v>div</v>
      </c>
    </row>
    <row r="2245" spans="1:2" x14ac:dyDescent="0.2">
      <c r="A2245" t="s">
        <v>187</v>
      </c>
      <c r="B2245" t="str">
        <f>IFERROR(NA(),"na")</f>
        <v>na</v>
      </c>
    </row>
    <row r="2257" spans="1:2" x14ac:dyDescent="0.2">
      <c r="A2257" t="s">
        <v>188</v>
      </c>
      <c r="B2257" t="str">
        <f>_xlfn.IFNA(NA(),"na")</f>
        <v>na</v>
      </c>
    </row>
    <row r="2269" spans="1:2" x14ac:dyDescent="0.2">
      <c r="A2269" t="s">
        <v>189</v>
      </c>
      <c r="B2269" t="e">
        <f>_xlfn.IFNA(1/0,"na")</f>
        <v>#DIV/0!</v>
      </c>
    </row>
    <row r="2281" spans="1:2" x14ac:dyDescent="0.2">
      <c r="A2281" t="s">
        <v>190</v>
      </c>
      <c r="B2281" t="str">
        <f>_xlfn.SWITCH(2,1,"one",2,"two","other")</f>
        <v>two</v>
      </c>
    </row>
    <row r="2293" spans="1:2" x14ac:dyDescent="0.2">
      <c r="A2293" t="s">
        <v>191</v>
      </c>
      <c r="B2293" t="e">
        <f>_xlfn.SWITCH(9,1,"one")</f>
        <v>#N/A</v>
      </c>
    </row>
    <row r="2305" spans="1:2" x14ac:dyDescent="0.2">
      <c r="A2305" t="s">
        <v>192</v>
      </c>
      <c r="B2305" t="str">
        <f>CHOOSE(3,"a","b","c")</f>
        <v>c</v>
      </c>
    </row>
    <row r="2317" spans="1:2" x14ac:dyDescent="0.2">
      <c r="A2317" t="s">
        <v>193</v>
      </c>
      <c r="B2317" t="e">
        <f>CHOOSE(4,"a","b","c")</f>
        <v>#VALUE!</v>
      </c>
    </row>
    <row r="2329" spans="1:2" x14ac:dyDescent="0.2">
      <c r="A2329" t="s">
        <v>194</v>
      </c>
      <c r="B2329" t="b">
        <f>TRUE()</f>
        <v>1</v>
      </c>
    </row>
    <row r="2341" spans="1:2" x14ac:dyDescent="0.2">
      <c r="A2341" t="s">
        <v>195</v>
      </c>
      <c r="B2341">
        <f>IF(Data!A2&gt;4,Data!A2*2,1/0)</f>
        <v>10</v>
      </c>
    </row>
    <row r="2353" spans="1:2" x14ac:dyDescent="0.2">
      <c r="A2353" t="s">
        <v>196</v>
      </c>
      <c r="B2353" t="str">
        <f>VLOOKUP("fig",Data!B2:C11,2,FALSE)</f>
        <v>x</v>
      </c>
    </row>
    <row r="2365" spans="1:2" x14ac:dyDescent="0.2">
      <c r="A2365" t="s">
        <v>197</v>
      </c>
      <c r="B2365">
        <f>VLOOKUP("FIG",Data!B2:D11,3,FALSE)</f>
        <v>45477</v>
      </c>
    </row>
    <row r="2377" spans="1:2" x14ac:dyDescent="0.2">
      <c r="A2377" t="s">
        <v>198</v>
      </c>
      <c r="B2377" t="e">
        <f>VLOOKUP("zzz",Data!B2:C11,2,FALSE)</f>
        <v>#N/A</v>
      </c>
    </row>
    <row r="2389" spans="1:2" x14ac:dyDescent="0.2">
      <c r="A2389" t="s">
        <v>199</v>
      </c>
      <c r="B2389">
        <f>VLOOKUP(45,Data!F2:G11,2,TRUE)</f>
        <v>2</v>
      </c>
    </row>
    <row r="2401" spans="1:2" x14ac:dyDescent="0.2">
      <c r="A2401" t="s">
        <v>200</v>
      </c>
      <c r="B2401">
        <f>VLOOKUP(45,Data!F2:G11,2)</f>
        <v>2</v>
      </c>
    </row>
    <row r="2413" spans="1:2" x14ac:dyDescent="0.2">
      <c r="A2413" t="s">
        <v>201</v>
      </c>
      <c r="B2413" t="e">
        <f>VLOOKUP(5,Data!F2:G11,2,TRUE)</f>
        <v>#N/A</v>
      </c>
    </row>
    <row r="2425" spans="1:2" x14ac:dyDescent="0.2">
      <c r="A2425" t="s">
        <v>202</v>
      </c>
      <c r="B2425">
        <f>VLOOKUP("k*",Data!B2:C11,2,FALSE)</f>
        <v>-2</v>
      </c>
    </row>
    <row r="2437" spans="1:2" x14ac:dyDescent="0.2">
      <c r="A2437" t="s">
        <v>203</v>
      </c>
      <c r="B2437">
        <f>HLOOKUP("Date",Data!A1:H11,3,FALSE)</f>
        <v>45329</v>
      </c>
    </row>
    <row r="2449" spans="1:2" x14ac:dyDescent="0.2">
      <c r="A2449" t="s">
        <v>204</v>
      </c>
      <c r="B2449">
        <f>MATCH("grape",Data!B2:B11,0)</f>
        <v>7</v>
      </c>
    </row>
    <row r="2461" spans="1:2" x14ac:dyDescent="0.2">
      <c r="A2461" t="s">
        <v>205</v>
      </c>
      <c r="B2461">
        <f>MATCH(55,Data!F2:F11,1)</f>
        <v>5</v>
      </c>
    </row>
    <row r="2473" spans="1:2" x14ac:dyDescent="0.2">
      <c r="A2473" t="s">
        <v>206</v>
      </c>
      <c r="B2473">
        <f>MATCH(55,Data!F2:F11)</f>
        <v>5</v>
      </c>
    </row>
    <row r="2485" spans="1:2" x14ac:dyDescent="0.2">
      <c r="A2485" t="s">
        <v>207</v>
      </c>
      <c r="B2485">
        <f>MATCH("GRAPE",Data!B2:B11,0)</f>
        <v>7</v>
      </c>
    </row>
    <row r="2497" spans="1:2" x14ac:dyDescent="0.2">
      <c r="A2497" t="s">
        <v>208</v>
      </c>
      <c r="B2497">
        <f>MATCH("g*",Data!B2:B11,0)</f>
        <v>7</v>
      </c>
    </row>
    <row r="2509" spans="1:2" x14ac:dyDescent="0.2">
      <c r="A2509" t="s">
        <v>209</v>
      </c>
      <c r="B2509" t="str">
        <f>INDEX(Data!A2:H11,3,2)</f>
        <v>cherry</v>
      </c>
    </row>
    <row r="2521" spans="1:2" x14ac:dyDescent="0.2">
      <c r="A2521" t="s">
        <v>210</v>
      </c>
      <c r="B2521" t="str">
        <f>INDEX(Data!B2:B11,4)</f>
        <v>date</v>
      </c>
    </row>
    <row r="2533" spans="1:2" x14ac:dyDescent="0.2">
      <c r="A2533" t="s">
        <v>211</v>
      </c>
      <c r="B2533">
        <f>INDEX(Data!A2:A11,MATCH("kiwi",Data!B2:B11,0))</f>
        <v>6</v>
      </c>
    </row>
    <row r="2545" spans="1:2" x14ac:dyDescent="0.2">
      <c r="A2545" t="s">
        <v>212</v>
      </c>
      <c r="B2545">
        <f>_xlfn.XLOOKUP("kiwi",Data!B2:B11,Data!A2:A11)</f>
        <v>6</v>
      </c>
    </row>
    <row r="2557" spans="1:2" x14ac:dyDescent="0.2">
      <c r="A2557" t="s">
        <v>213</v>
      </c>
      <c r="B2557">
        <f>_xlfn.XLOOKUP("KIWI",Data!B2:B11,Data!A2:A11)</f>
        <v>6</v>
      </c>
    </row>
    <row r="2569" spans="1:2" x14ac:dyDescent="0.2">
      <c r="A2569" t="s">
        <v>214</v>
      </c>
      <c r="B2569" t="str">
        <f>_xlfn.XLOOKUP("none",Data!B2:B11,Data!A2:A11,"missing")</f>
        <v>missing</v>
      </c>
    </row>
    <row r="2581" spans="1:2" x14ac:dyDescent="0.2">
      <c r="A2581" t="s">
        <v>215</v>
      </c>
      <c r="B2581" t="e">
        <f>_xlfn.XLOOKUP("none",Data!B2:B11,Data!A2:A11)</f>
        <v>#N/A</v>
      </c>
    </row>
    <row r="2593" spans="1:2" x14ac:dyDescent="0.2">
      <c r="A2593" t="s">
        <v>216</v>
      </c>
      <c r="B2593">
        <f>_xlfn.XLOOKUP("*on",Data!B2:B11,Data!A2:A11,,2)</f>
        <v>10</v>
      </c>
    </row>
    <row r="2605" spans="1:2" x14ac:dyDescent="0.2">
      <c r="A2605" t="s">
        <v>217</v>
      </c>
      <c r="B2605">
        <f>_xlfn.XLOOKUP("a",Data!E2:E11,Data!A2:A11,,0,-1)</f>
        <v>4</v>
      </c>
    </row>
    <row r="2617" spans="1:2" x14ac:dyDescent="0.2">
      <c r="A2617" t="s">
        <v>218</v>
      </c>
      <c r="B2617" t="str">
        <f>_xlfn.XLOOKUP(55,Data!F2:F11,Data!B2:B11,,-1)</f>
        <v>Elder</v>
      </c>
    </row>
    <row r="2629" spans="1:2" x14ac:dyDescent="0.2">
      <c r="A2629" t="s">
        <v>219</v>
      </c>
      <c r="B2629" t="str">
        <f>_xlfn.XLOOKUP(55,Data!F2:F11,Data!B2:B11,,1)</f>
        <v>fig</v>
      </c>
    </row>
    <row r="2641" spans="1:2" x14ac:dyDescent="0.2">
      <c r="A2641" t="s">
        <v>220</v>
      </c>
      <c r="B2641">
        <f>_xlfn.XMATCH("c",Data!E2:E11)</f>
        <v>4</v>
      </c>
    </row>
    <row r="2653" spans="1:2" x14ac:dyDescent="0.2">
      <c r="A2653" t="s">
        <v>221</v>
      </c>
      <c r="B2653">
        <f>_xlfn.XMATCH("c",Data!E2:E11,0,-1)</f>
        <v>10</v>
      </c>
    </row>
    <row r="2665" spans="1:2" x14ac:dyDescent="0.2">
      <c r="A2665" t="s">
        <v>222</v>
      </c>
      <c r="B2665" t="str">
        <f>LOOKUP(55,Data!F2:F11,Data!B2:B11)</f>
        <v>Elder</v>
      </c>
    </row>
    <row r="2677" spans="1:2" x14ac:dyDescent="0.2">
      <c r="A2677" t="s">
        <v>223</v>
      </c>
      <c r="B2677">
        <f>ROWS(Data!A2:H11)</f>
        <v>10</v>
      </c>
    </row>
    <row r="2689" spans="1:2" x14ac:dyDescent="0.2">
      <c r="A2689" t="s">
        <v>224</v>
      </c>
      <c r="B2689">
        <f>COLUMNS(Data!A2:H11)</f>
        <v>8</v>
      </c>
    </row>
    <row r="2701" spans="1:2" x14ac:dyDescent="0.2">
      <c r="A2701" t="s">
        <v>225</v>
      </c>
      <c r="B2701">
        <f>ROW(Data!C7)</f>
        <v>7</v>
      </c>
    </row>
    <row r="2713" spans="1:2" x14ac:dyDescent="0.2">
      <c r="A2713" t="s">
        <v>226</v>
      </c>
      <c r="B2713">
        <f>COLUMN(Data!C7)</f>
        <v>3</v>
      </c>
    </row>
    <row r="2725" spans="1:2" x14ac:dyDescent="0.2">
      <c r="A2725" t="s">
        <v>227</v>
      </c>
      <c r="B2725">
        <f>ROW()</f>
        <v>2725</v>
      </c>
    </row>
    <row r="2737" spans="1:2" x14ac:dyDescent="0.2">
      <c r="A2737" t="s">
        <v>228</v>
      </c>
      <c r="B2737">
        <f>COLUMN()</f>
        <v>2</v>
      </c>
    </row>
    <row r="2749" spans="1:2" x14ac:dyDescent="0.2">
      <c r="A2749" t="s">
        <v>229</v>
      </c>
      <c r="B2749">
        <f>SUM(INDEX(Data!A2:H11,0,1))</f>
        <v>55</v>
      </c>
    </row>
    <row r="2761" spans="1:4" x14ac:dyDescent="0.2">
      <c r="A2761" t="s">
        <v>230</v>
      </c>
      <c r="B2761" cm="1">
        <f t="array" ref="B2761:D2761">TRANSPOSE(Data!A2:A4)</f>
        <v>5</v>
      </c>
      <c r="C2761">
        <v>3</v>
      </c>
      <c r="D2761">
        <v>8</v>
      </c>
    </row>
    <row r="2773" spans="1:2" x14ac:dyDescent="0.2">
      <c r="A2773" t="s">
        <v>231</v>
      </c>
      <c r="B2773" cm="1">
        <f t="array" ref="B2773:B2782">_xlfn._xlws.SORT(Data!A2:A11)</f>
        <v>1</v>
      </c>
    </row>
    <row r="2774" spans="1:2" x14ac:dyDescent="0.2">
      <c r="B2774">
        <v>2</v>
      </c>
    </row>
    <row r="2775" spans="1:2" x14ac:dyDescent="0.2">
      <c r="B2775">
        <v>3</v>
      </c>
    </row>
    <row r="2776" spans="1:2" x14ac:dyDescent="0.2">
      <c r="B2776">
        <v>4</v>
      </c>
    </row>
    <row r="2777" spans="1:2" x14ac:dyDescent="0.2">
      <c r="B2777">
        <v>5</v>
      </c>
    </row>
    <row r="2778" spans="1:2" x14ac:dyDescent="0.2">
      <c r="B2778">
        <v>6</v>
      </c>
    </row>
    <row r="2779" spans="1:2" x14ac:dyDescent="0.2">
      <c r="B2779">
        <v>7</v>
      </c>
    </row>
    <row r="2780" spans="1:2" x14ac:dyDescent="0.2">
      <c r="B2780">
        <v>8</v>
      </c>
    </row>
    <row r="2781" spans="1:2" x14ac:dyDescent="0.2">
      <c r="B2781">
        <v>9</v>
      </c>
    </row>
    <row r="2782" spans="1:2" x14ac:dyDescent="0.2">
      <c r="B2782">
        <v>10</v>
      </c>
    </row>
    <row r="2785" spans="1:2" x14ac:dyDescent="0.2">
      <c r="A2785" t="s">
        <v>232</v>
      </c>
      <c r="B2785" t="str" cm="1">
        <f t="array" ref="B2785:B2787">_xlfn.UNIQUE(Data!E2:E11)</f>
        <v>a</v>
      </c>
    </row>
    <row r="2786" spans="1:2" x14ac:dyDescent="0.2">
      <c r="B2786" t="str">
        <v>b</v>
      </c>
    </row>
    <row r="2787" spans="1:2" x14ac:dyDescent="0.2">
      <c r="B2787" t="str">
        <v>c</v>
      </c>
    </row>
    <row r="2797" spans="1:2" x14ac:dyDescent="0.2">
      <c r="A2797" t="s">
        <v>233</v>
      </c>
      <c r="B2797" cm="1">
        <f t="array" ref="B2797">COUNTA(_xlfn.UNIQUE(Data!E2:E11))</f>
        <v>3</v>
      </c>
    </row>
    <row r="2809" spans="1:2" x14ac:dyDescent="0.2">
      <c r="A2809" t="s">
        <v>234</v>
      </c>
      <c r="B2809" cm="1">
        <f t="array" ref="B2809:B2812">_xlfn._xlws.FILTER(Data!A2:A11,Data!E2:E11="a")</f>
        <v>5</v>
      </c>
    </row>
    <row r="2810" spans="1:2" x14ac:dyDescent="0.2">
      <c r="B2810">
        <v>8</v>
      </c>
    </row>
    <row r="2811" spans="1:2" x14ac:dyDescent="0.2">
      <c r="B2811">
        <v>2</v>
      </c>
    </row>
    <row r="2812" spans="1:2" x14ac:dyDescent="0.2">
      <c r="B2812">
        <v>4</v>
      </c>
    </row>
    <row r="2821" spans="1:2" x14ac:dyDescent="0.2">
      <c r="A2821" t="s">
        <v>235</v>
      </c>
      <c r="B2821" cm="1">
        <f t="array" ref="B2821">SUM(_xlfn._xlws.FILTER(Data!A2:A11,Data!E2:E11="a"))</f>
        <v>19</v>
      </c>
    </row>
    <row r="2833" spans="1:2" x14ac:dyDescent="0.2">
      <c r="A2833" t="s">
        <v>236</v>
      </c>
      <c r="B2833">
        <f ca="1">INDIRECT("Data!A3")</f>
        <v>3</v>
      </c>
    </row>
    <row r="2845" spans="1:2" x14ac:dyDescent="0.2">
      <c r="A2845" t="s">
        <v>237</v>
      </c>
      <c r="B2845">
        <f ca="1">SUM(OFFSET(Data!A2,1,0,3,1))</f>
        <v>12</v>
      </c>
    </row>
    <row r="2857" spans="1:2" x14ac:dyDescent="0.2">
      <c r="A2857" t="s">
        <v>238</v>
      </c>
      <c r="B2857">
        <f>DATE(2024,1,31)</f>
        <v>45322</v>
      </c>
    </row>
    <row r="2869" spans="1:2" x14ac:dyDescent="0.2">
      <c r="A2869" t="s">
        <v>239</v>
      </c>
      <c r="B2869">
        <f>DATE(2024,14,1)</f>
        <v>45689</v>
      </c>
    </row>
    <row r="2881" spans="1:2" x14ac:dyDescent="0.2">
      <c r="A2881" t="s">
        <v>240</v>
      </c>
      <c r="B2881">
        <f>DATE(2024,3,0)</f>
        <v>45351</v>
      </c>
    </row>
    <row r="2893" spans="1:2" x14ac:dyDescent="0.2">
      <c r="A2893" t="s">
        <v>241</v>
      </c>
      <c r="B2893">
        <f>DATE(24,1,1)</f>
        <v>8767</v>
      </c>
    </row>
    <row r="2905" spans="1:2" x14ac:dyDescent="0.2">
      <c r="A2905" t="s">
        <v>242</v>
      </c>
      <c r="B2905">
        <f>DATEVALUE("2024-01-31")</f>
        <v>45322</v>
      </c>
    </row>
    <row r="2917" spans="1:2" x14ac:dyDescent="0.2">
      <c r="A2917" t="s">
        <v>243</v>
      </c>
      <c r="B2917">
        <f>DATEVALUE("1/31/2024")</f>
        <v>45322</v>
      </c>
    </row>
    <row r="2929" spans="1:2" x14ac:dyDescent="0.2">
      <c r="A2929" t="s">
        <v>244</v>
      </c>
      <c r="B2929">
        <f>YEAR(Data!D5)</f>
        <v>2024</v>
      </c>
    </row>
    <row r="2941" spans="1:2" x14ac:dyDescent="0.2">
      <c r="A2941" t="s">
        <v>245</v>
      </c>
      <c r="B2941">
        <f>MONTH(Data!D5)</f>
        <v>4</v>
      </c>
    </row>
    <row r="2953" spans="1:2" x14ac:dyDescent="0.2">
      <c r="A2953" t="s">
        <v>246</v>
      </c>
      <c r="B2953">
        <f>DAY(Data!D5)</f>
        <v>21</v>
      </c>
    </row>
    <row r="2965" spans="1:2" x14ac:dyDescent="0.2">
      <c r="A2965" t="s">
        <v>247</v>
      </c>
      <c r="B2965">
        <f>WEEKDAY(Data!D2)</f>
        <v>2</v>
      </c>
    </row>
    <row r="2977" spans="1:2" x14ac:dyDescent="0.2">
      <c r="A2977" t="s">
        <v>248</v>
      </c>
      <c r="B2977">
        <f>WEEKDAY(Data!D2,2)</f>
        <v>1</v>
      </c>
    </row>
    <row r="2989" spans="1:2" x14ac:dyDescent="0.2">
      <c r="A2989" t="s">
        <v>249</v>
      </c>
      <c r="B2989">
        <f>WEEKNUM(Data!D5)</f>
        <v>17</v>
      </c>
    </row>
    <row r="3001" spans="1:2" x14ac:dyDescent="0.2">
      <c r="A3001" t="s">
        <v>250</v>
      </c>
      <c r="B3001">
        <f>_xlfn.ISOWEEKNUM(Data!D5)</f>
        <v>16</v>
      </c>
    </row>
    <row r="3013" spans="1:2" x14ac:dyDescent="0.2">
      <c r="A3013" t="s">
        <v>251</v>
      </c>
      <c r="B3013">
        <f>EDATE(Data!D2,1)</f>
        <v>45323</v>
      </c>
    </row>
    <row r="3025" spans="1:2" x14ac:dyDescent="0.2">
      <c r="A3025" t="s">
        <v>252</v>
      </c>
      <c r="B3025">
        <f>EDATE(DATE(2024,1,31),1)</f>
        <v>45351</v>
      </c>
    </row>
    <row r="3037" spans="1:2" x14ac:dyDescent="0.2">
      <c r="A3037" t="s">
        <v>253</v>
      </c>
      <c r="B3037">
        <f>EOMONTH(Data!D2,1)</f>
        <v>45351</v>
      </c>
    </row>
    <row r="3049" spans="1:2" x14ac:dyDescent="0.2">
      <c r="A3049" t="s">
        <v>254</v>
      </c>
      <c r="B3049">
        <f>EOMONTH(DATE(2024,2,10),0)</f>
        <v>45351</v>
      </c>
    </row>
    <row r="3061" spans="1:2" x14ac:dyDescent="0.2">
      <c r="A3061" t="s">
        <v>255</v>
      </c>
      <c r="B3061">
        <f>_xlfn.DAYS(Data!D11,Data!D2)</f>
        <v>333</v>
      </c>
    </row>
    <row r="3073" spans="1:2" x14ac:dyDescent="0.2">
      <c r="A3073" t="s">
        <v>256</v>
      </c>
      <c r="B3073">
        <f>DATEDIF(Data!D2,Data!D11,"m")</f>
        <v>10</v>
      </c>
    </row>
    <row r="3085" spans="1:2" x14ac:dyDescent="0.2">
      <c r="A3085" t="s">
        <v>257</v>
      </c>
      <c r="B3085">
        <f>DATEDIF(Data!D2,Data!D11,"d")</f>
        <v>333</v>
      </c>
    </row>
    <row r="3097" spans="1:2" x14ac:dyDescent="0.2">
      <c r="A3097" t="s">
        <v>258</v>
      </c>
      <c r="B3097">
        <f>DATEDIF(DATE(2020,2,29),DATE(2024,2,28),"y")</f>
        <v>3</v>
      </c>
    </row>
    <row r="3109" spans="1:2" x14ac:dyDescent="0.2">
      <c r="A3109" t="s">
        <v>259</v>
      </c>
      <c r="B3109">
        <f>NETWORKDAYS(Data!D2,Data!D3)</f>
        <v>28</v>
      </c>
    </row>
    <row r="3121" spans="1:2" x14ac:dyDescent="0.2">
      <c r="A3121" t="s">
        <v>260</v>
      </c>
      <c r="B3121">
        <f>WORKDAY(Data!D2,10)</f>
        <v>45306</v>
      </c>
    </row>
    <row r="3133" spans="1:2" x14ac:dyDescent="0.2">
      <c r="A3133" t="s">
        <v>261</v>
      </c>
      <c r="B3133">
        <f>YEARFRAC(Data!D2,Data!D11)</f>
        <v>0.91111111111111109</v>
      </c>
    </row>
    <row r="3145" spans="1:2" x14ac:dyDescent="0.2">
      <c r="A3145" t="s">
        <v>262</v>
      </c>
      <c r="B3145">
        <f>YEARFRAC(Data!D2,Data!D11,1)</f>
        <v>0.9098360655737705</v>
      </c>
    </row>
    <row r="3157" spans="1:2" x14ac:dyDescent="0.2">
      <c r="A3157" t="s">
        <v>263</v>
      </c>
      <c r="B3157">
        <f>TIME(13,30,0)</f>
        <v>0.5625</v>
      </c>
    </row>
    <row r="3169" spans="1:2" x14ac:dyDescent="0.2">
      <c r="A3169" t="s">
        <v>264</v>
      </c>
      <c r="B3169">
        <f>HOUR(0.75)</f>
        <v>18</v>
      </c>
    </row>
    <row r="3181" spans="1:2" x14ac:dyDescent="0.2">
      <c r="A3181" t="s">
        <v>265</v>
      </c>
      <c r="B3181">
        <f>MINUTE(0.5104)</f>
        <v>14</v>
      </c>
    </row>
    <row r="3193" spans="1:2" x14ac:dyDescent="0.2">
      <c r="A3193" t="s">
        <v>266</v>
      </c>
      <c r="B3193">
        <f>DATE(1900,2,29)</f>
        <v>60</v>
      </c>
    </row>
    <row r="3205" spans="1:2" x14ac:dyDescent="0.2">
      <c r="A3205" t="s">
        <v>267</v>
      </c>
      <c r="B3205">
        <f>DATE(1900,3,1)-DATE(1900,2,28)</f>
        <v>2</v>
      </c>
    </row>
    <row r="3217" spans="1:2" x14ac:dyDescent="0.2">
      <c r="A3217" t="s">
        <v>268</v>
      </c>
      <c r="B3217">
        <f>Data!D3-Data!D2</f>
        <v>37</v>
      </c>
    </row>
    <row r="3229" spans="1:2" x14ac:dyDescent="0.2">
      <c r="A3229" t="s">
        <v>269</v>
      </c>
      <c r="B3229">
        <f>YEAR("2024-06-01")</f>
        <v>2024</v>
      </c>
    </row>
    <row r="3241" spans="1:2" x14ac:dyDescent="0.2">
      <c r="A3241" t="s">
        <v>270</v>
      </c>
      <c r="B3241">
        <f>PMT(0.05/12,360,-200000)</f>
        <v>1073.6432460242781</v>
      </c>
    </row>
    <row r="3253" spans="1:2" x14ac:dyDescent="0.2">
      <c r="A3253" t="s">
        <v>271</v>
      </c>
      <c r="B3253">
        <f>PMT(0,12,1200)</f>
        <v>-100</v>
      </c>
    </row>
    <row r="3265" spans="1:2" x14ac:dyDescent="0.2">
      <c r="A3265" t="s">
        <v>272</v>
      </c>
      <c r="B3265">
        <f>PV(0.05,10,-1000)</f>
        <v>7721.7349291848132</v>
      </c>
    </row>
    <row r="3277" spans="1:2" x14ac:dyDescent="0.2">
      <c r="A3277" t="s">
        <v>273</v>
      </c>
      <c r="B3277">
        <f>FV(0.05/12,120,-100)</f>
        <v>15528.227944566865</v>
      </c>
    </row>
    <row r="3289" spans="1:2" x14ac:dyDescent="0.2">
      <c r="A3289" t="s">
        <v>274</v>
      </c>
      <c r="B3289">
        <f>NPV(0.08,-1000,300,400,500)</f>
        <v>16.32354297090362</v>
      </c>
    </row>
    <row r="3301" spans="1:2" x14ac:dyDescent="0.2">
      <c r="A3301" t="s">
        <v>275</v>
      </c>
      <c r="B3301">
        <f>IRR({-1000,300,400,500})</f>
        <v>8.8963394693349906E-2</v>
      </c>
    </row>
    <row r="3313" spans="1:2" x14ac:dyDescent="0.2">
      <c r="A3313" t="s">
        <v>276</v>
      </c>
      <c r="B3313">
        <f>RATE(36,-300,10000)</f>
        <v>4.2206675456282015E-3</v>
      </c>
    </row>
    <row r="3325" spans="1:2" x14ac:dyDescent="0.2">
      <c r="A3325" t="s">
        <v>277</v>
      </c>
      <c r="B3325">
        <f>NPER(0.01,-100,1000)</f>
        <v>10.588644459423231</v>
      </c>
    </row>
    <row r="3337" spans="1:2" x14ac:dyDescent="0.2">
      <c r="A3337" t="s">
        <v>278</v>
      </c>
      <c r="B3337">
        <f>IPMT(0.05/12,1,360,-200000)</f>
        <v>833.33333333333337</v>
      </c>
    </row>
    <row r="3349" spans="1:2" x14ac:dyDescent="0.2">
      <c r="A3349" t="s">
        <v>279</v>
      </c>
      <c r="B3349">
        <f>PPMT(0.05/12,1,360,-200000)</f>
        <v>240.30991269094474</v>
      </c>
    </row>
    <row r="3361" spans="1:2" x14ac:dyDescent="0.2">
      <c r="A3361" t="s">
        <v>280</v>
      </c>
      <c r="B3361">
        <f>SLN(10000,1000,5)</f>
        <v>1800</v>
      </c>
    </row>
    <row r="3373" spans="1:2" x14ac:dyDescent="0.2">
      <c r="A3373" t="s">
        <v>281</v>
      </c>
      <c r="B3373">
        <f>DB(10000,1000,5,1)</f>
        <v>3690</v>
      </c>
    </row>
    <row r="3385" spans="1:2" x14ac:dyDescent="0.2">
      <c r="A3385" t="s">
        <v>282</v>
      </c>
      <c r="B3385">
        <f>PMT(Rate/12,24,-5000)</f>
        <v>219.35694867034223</v>
      </c>
    </row>
    <row r="3397" spans="1:2" x14ac:dyDescent="0.2">
      <c r="A3397" t="s">
        <v>283</v>
      </c>
      <c r="B3397" t="b">
        <f>ISNUMBER(Data!C3)</f>
        <v>0</v>
      </c>
    </row>
    <row r="3409" spans="1:2" x14ac:dyDescent="0.2">
      <c r="A3409" t="s">
        <v>284</v>
      </c>
      <c r="B3409" t="b">
        <f>ISNUMBER(Data!C2)</f>
        <v>1</v>
      </c>
    </row>
    <row r="3421" spans="1:2" x14ac:dyDescent="0.2">
      <c r="A3421" t="s">
        <v>285</v>
      </c>
      <c r="B3421" t="b">
        <f>ISTEXT(Data!C3)</f>
        <v>1</v>
      </c>
    </row>
    <row r="3433" spans="1:2" x14ac:dyDescent="0.2">
      <c r="A3433" t="s">
        <v>286</v>
      </c>
      <c r="B3433" t="b">
        <f>ISBLANK(Data!C5)</f>
        <v>1</v>
      </c>
    </row>
    <row r="3445" spans="1:2" x14ac:dyDescent="0.2">
      <c r="A3445" t="s">
        <v>287</v>
      </c>
      <c r="B3445" t="b">
        <f>ISBLANK("")</f>
        <v>0</v>
      </c>
    </row>
    <row r="3457" spans="1:2" x14ac:dyDescent="0.2">
      <c r="A3457" t="s">
        <v>288</v>
      </c>
      <c r="B3457" t="b">
        <f>ISERROR(1/0)</f>
        <v>1</v>
      </c>
    </row>
    <row r="3469" spans="1:2" x14ac:dyDescent="0.2">
      <c r="A3469" t="s">
        <v>289</v>
      </c>
      <c r="B3469" t="b">
        <f>ISNA(NA())</f>
        <v>1</v>
      </c>
    </row>
    <row r="3481" spans="1:2" x14ac:dyDescent="0.2">
      <c r="A3481" t="s">
        <v>290</v>
      </c>
      <c r="B3481" t="b">
        <f>ISNA(1/0)</f>
        <v>0</v>
      </c>
    </row>
    <row r="3493" spans="1:2" x14ac:dyDescent="0.2">
      <c r="A3493" t="s">
        <v>291</v>
      </c>
      <c r="B3493" t="b">
        <f>ISERR(NA())</f>
        <v>0</v>
      </c>
    </row>
    <row r="3505" spans="1:2" x14ac:dyDescent="0.2">
      <c r="A3505" t="s">
        <v>292</v>
      </c>
      <c r="B3505" t="b">
        <f>ISEVEN(4)</f>
        <v>1</v>
      </c>
    </row>
    <row r="3517" spans="1:2" x14ac:dyDescent="0.2">
      <c r="A3517" t="s">
        <v>293</v>
      </c>
      <c r="B3517" t="b">
        <f>ISODD(4.5)</f>
        <v>0</v>
      </c>
    </row>
    <row r="3529" spans="1:2" x14ac:dyDescent="0.2">
      <c r="A3529" t="s">
        <v>294</v>
      </c>
      <c r="B3529" t="b">
        <f>ISLOGICAL(Data!C4)</f>
        <v>1</v>
      </c>
    </row>
    <row r="3541" spans="1:2" x14ac:dyDescent="0.2">
      <c r="A3541" t="s">
        <v>295</v>
      </c>
      <c r="B3541">
        <f>TYPE("a")</f>
        <v>2</v>
      </c>
    </row>
    <row r="3553" spans="1:2" x14ac:dyDescent="0.2">
      <c r="A3553" t="s">
        <v>296</v>
      </c>
      <c r="B3553">
        <f>TYPE(TRUE)</f>
        <v>4</v>
      </c>
    </row>
    <row r="3565" spans="1:2" x14ac:dyDescent="0.2">
      <c r="A3565" t="s">
        <v>297</v>
      </c>
      <c r="B3565" cm="1">
        <f t="array" ref="B3565">TYPE(Data!A2:A3)</f>
        <v>64</v>
      </c>
    </row>
    <row r="3577" spans="1:2" x14ac:dyDescent="0.2">
      <c r="A3577" t="s">
        <v>298</v>
      </c>
      <c r="B3577">
        <f>ERROR.TYPE(1/0)</f>
        <v>2</v>
      </c>
    </row>
    <row r="3589" spans="1:2" x14ac:dyDescent="0.2">
      <c r="A3589" t="s">
        <v>299</v>
      </c>
      <c r="B3589" t="e">
        <f>NA()</f>
        <v>#N/A</v>
      </c>
    </row>
    <row r="3601" spans="1:2" x14ac:dyDescent="0.2">
      <c r="A3601" t="s">
        <v>300</v>
      </c>
      <c r="B3601" t="b">
        <f>_xlfn.ISFORMULA(Data!A2)</f>
        <v>0</v>
      </c>
    </row>
    <row r="3613" spans="1:2" x14ac:dyDescent="0.2">
      <c r="A3613" t="s">
        <v>301</v>
      </c>
      <c r="B3613">
        <f>Other!A1+Other!A2</f>
        <v>300</v>
      </c>
    </row>
    <row r="3625" spans="1:2" x14ac:dyDescent="0.2">
      <c r="A3625" t="s">
        <v>302</v>
      </c>
      <c r="B3625">
        <f>SUM(Other!A1:A2)</f>
        <v>300</v>
      </c>
    </row>
    <row r="3637" spans="1:2" x14ac:dyDescent="0.2">
      <c r="A3637" t="s">
        <v>303</v>
      </c>
      <c r="B3637" t="str">
        <f>Other!B1&amp;Other!B2</f>
        <v>far3</v>
      </c>
    </row>
    <row r="3649" spans="1:2" x14ac:dyDescent="0.2">
      <c r="A3649" t="s">
        <v>304</v>
      </c>
      <c r="B3649">
        <f>SUM(Nums)/COUNT(Nums)</f>
        <v>5.5</v>
      </c>
    </row>
    <row r="3661" spans="1:2" x14ac:dyDescent="0.2">
      <c r="A3661" t="s">
        <v>305</v>
      </c>
      <c r="B3661">
        <f>Rate*100</f>
        <v>5</v>
      </c>
    </row>
    <row r="3673" spans="1:2" x14ac:dyDescent="0.2">
      <c r="A3673" t="s">
        <v>306</v>
      </c>
      <c r="B3673">
        <f>SUM(Data!A2:A11 Data!A5:C5)</f>
        <v>1</v>
      </c>
    </row>
    <row r="3685" spans="1:2" x14ac:dyDescent="0.2">
      <c r="A3685" t="s">
        <v>307</v>
      </c>
      <c r="B3685">
        <f>SUM(Data:Other!A2)</f>
        <v>205</v>
      </c>
    </row>
    <row r="3697" spans="1:2" x14ac:dyDescent="0.2">
      <c r="A3697" t="s">
        <v>308</v>
      </c>
      <c r="B3697">
        <f>SUM(Data!A2:A11)-SUM(Data!A2,Data!A3:A11)</f>
        <v>0</v>
      </c>
    </row>
    <row r="3709" spans="1:2" x14ac:dyDescent="0.2">
      <c r="A3709" t="s">
        <v>309</v>
      </c>
      <c r="B3709">
        <f>SUMPRODUCT(LEN(Data!B2:B11))</f>
        <v>51</v>
      </c>
    </row>
    <row r="3721" spans="1:2" x14ac:dyDescent="0.2">
      <c r="A3721" t="s">
        <v>310</v>
      </c>
      <c r="B3721" cm="1">
        <f t="array" ref="B3721">MAX(Data!A2:A11*Data!G2:G11)</f>
        <v>94.5</v>
      </c>
    </row>
    <row r="3733" spans="1:2" x14ac:dyDescent="0.2">
      <c r="A3733" t="s">
        <v>311</v>
      </c>
      <c r="B3733" cm="1">
        <f t="array" ref="B3733">SUM(Data!A2:A11^2)</f>
        <v>385</v>
      </c>
    </row>
    <row r="3745" spans="1:2" x14ac:dyDescent="0.2">
      <c r="A3745" t="s">
        <v>312</v>
      </c>
      <c r="B3745" cm="1">
        <f t="array" ref="B3745">SUM((Data!A2:A11&gt;5)*1)</f>
        <v>5</v>
      </c>
    </row>
    <row r="3757" spans="1:2" x14ac:dyDescent="0.2">
      <c r="A3757" t="s">
        <v>313</v>
      </c>
      <c r="B3757" cm="1">
        <f t="array" ref="B3757">SUM(IF(Data!A2:A11&gt;5,1,0))</f>
        <v>5</v>
      </c>
    </row>
    <row r="3769" spans="1:2" x14ac:dyDescent="0.2">
      <c r="A3769" t="s">
        <v>314</v>
      </c>
      <c r="B3769" cm="1">
        <f t="array" ref="B3769:B3771">_xlfn.SEQUENCE(3)</f>
        <v>1</v>
      </c>
    </row>
    <row r="3770" spans="1:2" x14ac:dyDescent="0.2">
      <c r="B3770">
        <v>2</v>
      </c>
    </row>
    <row r="3771" spans="1:2" x14ac:dyDescent="0.2">
      <c r="B3771">
        <v>3</v>
      </c>
    </row>
    <row r="3781" spans="1:4" x14ac:dyDescent="0.2">
      <c r="A3781" t="s">
        <v>315</v>
      </c>
      <c r="B3781" cm="1">
        <f t="array" ref="B3781:D3782">_xlfn.SEQUENCE(2,3,10,5)</f>
        <v>10</v>
      </c>
      <c r="C3781">
        <v>15</v>
      </c>
      <c r="D3781">
        <v>20</v>
      </c>
    </row>
    <row r="3782" spans="1:4" x14ac:dyDescent="0.2">
      <c r="B3782">
        <v>25</v>
      </c>
      <c r="C3782">
        <v>30</v>
      </c>
      <c r="D3782">
        <v>35</v>
      </c>
    </row>
    <row r="3793" spans="1:5" x14ac:dyDescent="0.2">
      <c r="A3793" t="s">
        <v>316</v>
      </c>
      <c r="B3793" cm="1">
        <f t="array" ref="B3793:E3793">_xlfn.SEQUENCE(1,4)*2</f>
        <v>2</v>
      </c>
      <c r="C3793">
        <v>4</v>
      </c>
      <c r="D3793">
        <v>6</v>
      </c>
      <c r="E3793">
        <v>8</v>
      </c>
    </row>
    <row r="3805" spans="1:5" x14ac:dyDescent="0.2">
      <c r="A3805" t="s">
        <v>317</v>
      </c>
      <c r="B3805" t="str" cm="1">
        <f t="array" ref="B3805:C3814">_xlfn._xlws.SORT(Data!B2:C11,1,-1)</f>
        <v>lemon</v>
      </c>
      <c r="C3805">
        <v>0</v>
      </c>
    </row>
    <row r="3806" spans="1:5" x14ac:dyDescent="0.2">
      <c r="B3806" t="str">
        <v>kiwi</v>
      </c>
      <c r="C3806">
        <v>-2</v>
      </c>
    </row>
    <row r="3807" spans="1:5" x14ac:dyDescent="0.2">
      <c r="B3807" t="str">
        <v>honeydew</v>
      </c>
      <c r="C3807" t="b">
        <v>0</v>
      </c>
    </row>
    <row r="3808" spans="1:5" x14ac:dyDescent="0.2">
      <c r="B3808" t="str">
        <v>grape</v>
      </c>
      <c r="C3808">
        <v>3.5</v>
      </c>
    </row>
    <row r="3809" spans="1:3" x14ac:dyDescent="0.2">
      <c r="B3809" t="str">
        <v>fig</v>
      </c>
      <c r="C3809" t="str">
        <v>x</v>
      </c>
    </row>
    <row r="3810" spans="1:3" x14ac:dyDescent="0.2">
      <c r="B3810" t="str">
        <v>Elder</v>
      </c>
      <c r="C3810">
        <v>5</v>
      </c>
    </row>
    <row r="3811" spans="1:3" x14ac:dyDescent="0.2">
      <c r="B3811" t="str">
        <v>date</v>
      </c>
      <c r="C3811">
        <v>0</v>
      </c>
    </row>
    <row r="3812" spans="1:3" x14ac:dyDescent="0.2">
      <c r="B3812" t="str">
        <v>cherry</v>
      </c>
      <c r="C3812" t="b">
        <v>1</v>
      </c>
    </row>
    <row r="3813" spans="1:3" x14ac:dyDescent="0.2">
      <c r="B3813" t="str">
        <v>Banana</v>
      </c>
      <c r="C3813" t="str">
        <v>2</v>
      </c>
    </row>
    <row r="3814" spans="1:3" x14ac:dyDescent="0.2">
      <c r="B3814" t="str">
        <v>apple</v>
      </c>
      <c r="C3814">
        <v>1</v>
      </c>
    </row>
    <row r="3817" spans="1:3" x14ac:dyDescent="0.2">
      <c r="A3817" t="s">
        <v>318</v>
      </c>
      <c r="B3817" t="str" cm="1">
        <f t="array" ref="B3817:B3826">_xlfn.SORTBY(Data!B2:B11,Data!A2:A11)</f>
        <v>date</v>
      </c>
    </row>
    <row r="3818" spans="1:3" x14ac:dyDescent="0.2">
      <c r="B3818" t="str">
        <v>fig</v>
      </c>
    </row>
    <row r="3819" spans="1:3" x14ac:dyDescent="0.2">
      <c r="B3819" t="str">
        <v>Banana</v>
      </c>
    </row>
    <row r="3820" spans="1:3" x14ac:dyDescent="0.2">
      <c r="B3820" t="str">
        <v>honeydew</v>
      </c>
    </row>
    <row r="3821" spans="1:3" x14ac:dyDescent="0.2">
      <c r="B3821" t="str">
        <v>apple</v>
      </c>
    </row>
    <row r="3822" spans="1:3" x14ac:dyDescent="0.2">
      <c r="B3822" t="str">
        <v>kiwi</v>
      </c>
    </row>
    <row r="3823" spans="1:3" x14ac:dyDescent="0.2">
      <c r="B3823" t="str">
        <v>grape</v>
      </c>
    </row>
    <row r="3824" spans="1:3" x14ac:dyDescent="0.2">
      <c r="B3824" t="str">
        <v>cherry</v>
      </c>
    </row>
    <row r="3825" spans="1:2" x14ac:dyDescent="0.2">
      <c r="B3825" t="str">
        <v>Elder</v>
      </c>
    </row>
    <row r="3826" spans="1:2" x14ac:dyDescent="0.2">
      <c r="B3826" t="str">
        <v>lemon</v>
      </c>
    </row>
    <row r="3829" spans="1:2" x14ac:dyDescent="0.2">
      <c r="A3829" t="s">
        <v>319</v>
      </c>
      <c r="B3829" t="str" cm="1">
        <f t="array" ref="B3829:B3838">_xlfn.SORTBY(Data!B2:B11,Data!E2:E11,1,Data!A2:A11,-1)</f>
        <v>cherry</v>
      </c>
    </row>
    <row r="3830" spans="1:2" x14ac:dyDescent="0.2">
      <c r="B3830" t="str">
        <v>apple</v>
      </c>
    </row>
    <row r="3831" spans="1:2" x14ac:dyDescent="0.2">
      <c r="B3831" t="str">
        <v>honeydew</v>
      </c>
    </row>
    <row r="3832" spans="1:2" x14ac:dyDescent="0.2">
      <c r="B3832" t="str">
        <v>fig</v>
      </c>
    </row>
    <row r="3833" spans="1:2" x14ac:dyDescent="0.2">
      <c r="B3833" t="str">
        <v>Elder</v>
      </c>
    </row>
    <row r="3834" spans="1:2" x14ac:dyDescent="0.2">
      <c r="B3834" t="str">
        <v>kiwi</v>
      </c>
    </row>
    <row r="3835" spans="1:2" x14ac:dyDescent="0.2">
      <c r="B3835" t="str">
        <v>Banana</v>
      </c>
    </row>
    <row r="3836" spans="1:2" x14ac:dyDescent="0.2">
      <c r="B3836" t="str">
        <v>lemon</v>
      </c>
    </row>
    <row r="3837" spans="1:2" x14ac:dyDescent="0.2">
      <c r="B3837" t="str">
        <v>grape</v>
      </c>
    </row>
    <row r="3838" spans="1:2" x14ac:dyDescent="0.2">
      <c r="B3838" t="str">
        <v>date</v>
      </c>
    </row>
    <row r="3841" spans="1:2" x14ac:dyDescent="0.2">
      <c r="A3841" t="s">
        <v>320</v>
      </c>
      <c r="B3841" t="e" cm="1" vm="1">
        <f t="array" ref="B3841">_xlfn.UNIQUE(Data!E2:E11,FALSE,TRUE)</f>
        <v>#VALUE!</v>
      </c>
    </row>
    <row r="3853" spans="1:2" x14ac:dyDescent="0.2">
      <c r="A3853" t="s">
        <v>321</v>
      </c>
      <c r="B3853" t="str" cm="1">
        <f t="array" ref="B3853:B3856">_xlfn._xlws.FILTER(Data!B2:B11,Data!A2:A11&gt;6)</f>
        <v>cherry</v>
      </c>
    </row>
    <row r="3854" spans="1:2" x14ac:dyDescent="0.2">
      <c r="B3854" t="str">
        <v>Elder</v>
      </c>
    </row>
    <row r="3855" spans="1:2" x14ac:dyDescent="0.2">
      <c r="B3855" t="str">
        <v>grape</v>
      </c>
    </row>
    <row r="3856" spans="1:2" x14ac:dyDescent="0.2">
      <c r="B3856" t="str">
        <v>lemon</v>
      </c>
    </row>
    <row r="3865" spans="1:2" x14ac:dyDescent="0.2">
      <c r="A3865" t="s">
        <v>322</v>
      </c>
      <c r="B3865" t="str" cm="1">
        <f t="array" ref="B3865">_xlfn._xlws.FILTER(Data!A2:A11,Data!E2:E11="z","none")</f>
        <v>none</v>
      </c>
    </row>
    <row r="3877" spans="1:2" x14ac:dyDescent="0.2">
      <c r="A3877" t="s">
        <v>323</v>
      </c>
      <c r="B3877" t="e" cm="1" vm="1">
        <f t="array" ref="B3877">_xlfn._xlws.FILTER(Data!A2:A11,Data!E2:E11="z")</f>
        <v>#VALUE!</v>
      </c>
    </row>
    <row r="3889" spans="1:3" x14ac:dyDescent="0.2">
      <c r="A3889" t="s">
        <v>324</v>
      </c>
      <c r="B3889" cm="1">
        <f t="array" ref="B3889:C3890">_xlfn._xlws.FILTER(Data!A2:B11,(Data!E2:E11="a")*(Data!A2:A11&gt;4))</f>
        <v>5</v>
      </c>
      <c r="C3889" t="str">
        <v>apple</v>
      </c>
    </row>
    <row r="3890" spans="1:3" x14ac:dyDescent="0.2">
      <c r="B3890">
        <v>8</v>
      </c>
      <c r="C3890" t="str">
        <v>cherry</v>
      </c>
    </row>
    <row r="3901" spans="1:3" x14ac:dyDescent="0.2">
      <c r="A3901" t="s">
        <v>325</v>
      </c>
      <c r="B3901" cm="1">
        <f t="array" ref="B3901:C3902">_xlfn.TAKE(Data!A2:B11,2)</f>
        <v>5</v>
      </c>
      <c r="C3901" t="str">
        <v>apple</v>
      </c>
    </row>
    <row r="3902" spans="1:3" x14ac:dyDescent="0.2">
      <c r="B3902">
        <v>3</v>
      </c>
      <c r="C3902" t="str">
        <v>Banana</v>
      </c>
    </row>
    <row r="3913" spans="1:2" x14ac:dyDescent="0.2">
      <c r="A3913" t="s">
        <v>326</v>
      </c>
      <c r="B3913" cm="1">
        <f t="array" ref="B3913:B3914">_xlfn.TAKE(Data!A2:A11,-2)</f>
        <v>6</v>
      </c>
    </row>
    <row r="3914" spans="1:2" x14ac:dyDescent="0.2">
      <c r="B3914">
        <v>10</v>
      </c>
    </row>
    <row r="3925" spans="1:2" x14ac:dyDescent="0.2">
      <c r="A3925" t="s">
        <v>327</v>
      </c>
      <c r="B3925" cm="1">
        <f t="array" ref="B3925:B3926">_xlfn.DROP(Data!A2:A11,8)</f>
        <v>6</v>
      </c>
    </row>
    <row r="3926" spans="1:2" x14ac:dyDescent="0.2">
      <c r="B3926">
        <v>10</v>
      </c>
    </row>
    <row r="3937" spans="1:3" x14ac:dyDescent="0.2">
      <c r="A3937" t="s">
        <v>328</v>
      </c>
      <c r="B3937" t="str" cm="1">
        <f t="array" ref="B3937:C3938">_xlfn.CHOOSECOLS(Data!A2:H3,2,1)</f>
        <v>apple</v>
      </c>
      <c r="C3937">
        <v>5</v>
      </c>
    </row>
    <row r="3938" spans="1:3" x14ac:dyDescent="0.2">
      <c r="B3938" t="str">
        <v>Banana</v>
      </c>
      <c r="C3938">
        <v>3</v>
      </c>
    </row>
    <row r="3949" spans="1:3" x14ac:dyDescent="0.2">
      <c r="A3949" t="s">
        <v>329</v>
      </c>
      <c r="B3949" cm="1">
        <f t="array" ref="B3949:C3950">_xlfn.CHOOSEROWS(Data!A2:B11,1,-1)</f>
        <v>5</v>
      </c>
      <c r="C3949" t="str">
        <v>apple</v>
      </c>
    </row>
    <row r="3950" spans="1:3" x14ac:dyDescent="0.2">
      <c r="B3950">
        <v>10</v>
      </c>
      <c r="C3950" t="str">
        <v>lemon</v>
      </c>
    </row>
    <row r="3961" spans="1:3" x14ac:dyDescent="0.2">
      <c r="A3961" t="s">
        <v>330</v>
      </c>
      <c r="B3961" cm="1">
        <f t="array" ref="B3961:C3962">_xlfn.VSTACK({1,2},{3,4})</f>
        <v>1</v>
      </c>
      <c r="C3961">
        <v>2</v>
      </c>
    </row>
    <row r="3962" spans="1:3" x14ac:dyDescent="0.2">
      <c r="B3962">
        <v>3</v>
      </c>
      <c r="C3962">
        <v>4</v>
      </c>
    </row>
    <row r="3973" spans="1:3" x14ac:dyDescent="0.2">
      <c r="A3973" t="s">
        <v>331</v>
      </c>
      <c r="B3973" cm="1">
        <f t="array" ref="B3973:C3974">_xlfn.HSTACK(Data!A2:A3,Data!B2:B3)</f>
        <v>5</v>
      </c>
      <c r="C3973" t="str">
        <v>apple</v>
      </c>
    </row>
    <row r="3974" spans="1:3" x14ac:dyDescent="0.2">
      <c r="B3974">
        <v>3</v>
      </c>
      <c r="C3974" t="str">
        <v>Banana</v>
      </c>
    </row>
    <row r="3985" spans="1:3" x14ac:dyDescent="0.2">
      <c r="A3985" t="s">
        <v>332</v>
      </c>
      <c r="B3985" cm="1">
        <f t="array" ref="B3985:C3986">_xlfn.VSTACK({1,2},3)</f>
        <v>1</v>
      </c>
      <c r="C3985">
        <v>2</v>
      </c>
    </row>
    <row r="3986" spans="1:3" x14ac:dyDescent="0.2">
      <c r="B3986">
        <v>3</v>
      </c>
      <c r="C3986" t="e">
        <v>#N/A</v>
      </c>
    </row>
    <row r="3997" spans="1:3" x14ac:dyDescent="0.2">
      <c r="A3997" t="s">
        <v>333</v>
      </c>
      <c r="B3997" cm="1">
        <f t="array" ref="B3997:B4000">_xlfn.TOCOL(Data!A2:B3)</f>
        <v>5</v>
      </c>
    </row>
    <row r="3998" spans="1:3" x14ac:dyDescent="0.2">
      <c r="B3998" t="str">
        <v>apple</v>
      </c>
    </row>
    <row r="3999" spans="1:3" x14ac:dyDescent="0.2">
      <c r="B3999">
        <v>3</v>
      </c>
    </row>
    <row r="4000" spans="1:3" x14ac:dyDescent="0.2">
      <c r="B4000" t="str">
        <v>Banana</v>
      </c>
    </row>
    <row r="4009" spans="1:5" x14ac:dyDescent="0.2">
      <c r="A4009" t="s">
        <v>334</v>
      </c>
      <c r="B4009" cm="1">
        <f t="array" ref="B4009:E4009">_xlfn.TOROW(Data!C2:C6,1)</f>
        <v>1</v>
      </c>
      <c r="C4009" t="str">
        <v>2</v>
      </c>
      <c r="D4009" t="b">
        <v>1</v>
      </c>
      <c r="E4009">
        <v>5</v>
      </c>
    </row>
    <row r="4021" spans="1:2" x14ac:dyDescent="0.2">
      <c r="A4021" t="s">
        <v>335</v>
      </c>
      <c r="B4021" cm="1">
        <f t="array" ref="B4021:B4024">Data!A2:A5*2</f>
        <v>10</v>
      </c>
    </row>
    <row r="4022" spans="1:2" x14ac:dyDescent="0.2">
      <c r="B4022">
        <v>6</v>
      </c>
    </row>
    <row r="4023" spans="1:2" x14ac:dyDescent="0.2">
      <c r="B4023">
        <v>16</v>
      </c>
    </row>
    <row r="4024" spans="1:2" x14ac:dyDescent="0.2">
      <c r="B4024">
        <v>2</v>
      </c>
    </row>
    <row r="4033" spans="1:2" x14ac:dyDescent="0.2">
      <c r="A4033" t="s">
        <v>336</v>
      </c>
      <c r="B4033" t="str" cm="1">
        <f t="array" ref="B4033:B4035">Data!B2:B4&amp;"!"</f>
        <v>apple!</v>
      </c>
    </row>
    <row r="4034" spans="1:2" x14ac:dyDescent="0.2">
      <c r="B4034" t="str">
        <v>Banana!</v>
      </c>
    </row>
    <row r="4035" spans="1:2" x14ac:dyDescent="0.2">
      <c r="B4035" t="str">
        <v>cherry!</v>
      </c>
    </row>
    <row r="4045" spans="1:2" x14ac:dyDescent="0.2">
      <c r="A4045" t="s">
        <v>337</v>
      </c>
      <c r="B4045" cm="1">
        <f t="array" ref="B4045:B4047">ROW(Data!A2:A4)</f>
        <v>2</v>
      </c>
    </row>
    <row r="4046" spans="1:2" x14ac:dyDescent="0.2">
      <c r="B4046">
        <v>3</v>
      </c>
    </row>
    <row r="4047" spans="1:2" x14ac:dyDescent="0.2">
      <c r="B4047">
        <v>4</v>
      </c>
    </row>
    <row r="4057" spans="1:2" x14ac:dyDescent="0.2">
      <c r="A4057" t="s">
        <v>338</v>
      </c>
      <c r="B4057" cm="1">
        <f t="array" ref="B4057:B4059">LEN(Data!B2:B4)</f>
        <v>5</v>
      </c>
    </row>
    <row r="4058" spans="1:2" x14ac:dyDescent="0.2">
      <c r="B4058">
        <v>6</v>
      </c>
    </row>
    <row r="4059" spans="1:2" x14ac:dyDescent="0.2">
      <c r="B4059">
        <v>6</v>
      </c>
    </row>
    <row r="4069" spans="1:2" x14ac:dyDescent="0.2">
      <c r="A4069" t="s">
        <v>339</v>
      </c>
      <c r="B4069" t="str" cm="1">
        <f t="array" ref="B4069:B4072">IF(Data!A2:A5&gt;4,"hi","lo")</f>
        <v>hi</v>
      </c>
    </row>
    <row r="4070" spans="1:2" x14ac:dyDescent="0.2">
      <c r="B4070" t="str">
        <v>lo</v>
      </c>
    </row>
    <row r="4071" spans="1:2" x14ac:dyDescent="0.2">
      <c r="B4071" t="str">
        <v>hi</v>
      </c>
    </row>
    <row r="4072" spans="1:2" x14ac:dyDescent="0.2">
      <c r="B4072" t="str">
        <v>lo</v>
      </c>
    </row>
    <row r="4081" spans="1:5" x14ac:dyDescent="0.2">
      <c r="A4081" t="s">
        <v>340</v>
      </c>
      <c r="B4081" cm="1">
        <f t="array" ref="B4081:E4081">_xlfn.XLOOKUP("kiwi",Data!B2:B11,Data!A2:D11)</f>
        <v>6</v>
      </c>
      <c r="C4081" t="str">
        <v>kiwi</v>
      </c>
      <c r="D4081">
        <v>-2</v>
      </c>
      <c r="E4081">
        <v>45588</v>
      </c>
    </row>
    <row r="4093" spans="1:5" x14ac:dyDescent="0.2">
      <c r="A4093" t="s">
        <v>341</v>
      </c>
      <c r="B4093" cm="1">
        <f t="array" ref="B4093:D4093">INDEX(Data!A2:C4,2,0)</f>
        <v>3</v>
      </c>
      <c r="C4093" t="str">
        <v>Banana</v>
      </c>
      <c r="D4093" t="str">
        <v>2</v>
      </c>
    </row>
    <row r="4105" spans="1:2" x14ac:dyDescent="0.2">
      <c r="A4105" t="s">
        <v>342</v>
      </c>
      <c r="B4105" t="str" cm="1">
        <f t="array" ref="B4105:B4107">INDEX(Data!A2:C4,0,2)</f>
        <v>apple</v>
      </c>
    </row>
    <row r="4106" spans="1:2" x14ac:dyDescent="0.2">
      <c r="B4106" t="str">
        <v>Banana</v>
      </c>
    </row>
    <row r="4107" spans="1:2" x14ac:dyDescent="0.2">
      <c r="B4107" t="str">
        <v>cherry</v>
      </c>
    </row>
    <row r="4117" spans="1:2" x14ac:dyDescent="0.2">
      <c r="A4117" t="s">
        <v>343</v>
      </c>
      <c r="B4117" cm="1">
        <f t="array" ref="B4117:B4118">Data!A2:A3</f>
        <v>5</v>
      </c>
    </row>
    <row r="4118" spans="1:2" x14ac:dyDescent="0.2">
      <c r="B4118">
        <v>3</v>
      </c>
    </row>
    <row r="4129" spans="1:3" x14ac:dyDescent="0.2">
      <c r="A4129" t="s">
        <v>344</v>
      </c>
      <c r="B4129" cm="1">
        <f t="array" ref="B4129:C4129">COUNTIF(Data!E2:E11,{"a","b"})</f>
        <v>4</v>
      </c>
      <c r="C4129">
        <v>3</v>
      </c>
    </row>
    <row r="4141" spans="1:3" x14ac:dyDescent="0.2">
      <c r="A4141" t="s">
        <v>345</v>
      </c>
      <c r="B4141" cm="1">
        <f t="array" ref="B4141">SUM(Data!A2:A11*Data!H2:H11)</f>
        <v>364</v>
      </c>
    </row>
    <row r="4153" spans="1:3" x14ac:dyDescent="0.2">
      <c r="A4153" t="s">
        <v>346</v>
      </c>
      <c r="B4153" cm="1">
        <f t="array" ref="B4153:C4154">{1,2;3,4}</f>
        <v>1</v>
      </c>
      <c r="C4153">
        <v>2</v>
      </c>
    </row>
    <row r="4154" spans="1:3" x14ac:dyDescent="0.2">
      <c r="B4154">
        <v>3</v>
      </c>
      <c r="C4154">
        <v>4</v>
      </c>
    </row>
    <row r="4165" spans="1:2" x14ac:dyDescent="0.2">
      <c r="A4165" t="s">
        <v>347</v>
      </c>
      <c r="B4165" cm="1">
        <f t="array" ref="B4165:B4167">IFERROR(1/(Data!A2:A4-3),"x")</f>
        <v>0.5</v>
      </c>
    </row>
    <row r="4166" spans="1:2" x14ac:dyDescent="0.2">
      <c r="B4166" t="str">
        <v>x</v>
      </c>
    </row>
    <row r="4167" spans="1:2" x14ac:dyDescent="0.2">
      <c r="B4167">
        <v>0.2</v>
      </c>
    </row>
    <row r="4177" spans="1:2" x14ac:dyDescent="0.2">
      <c r="A4177" t="s">
        <v>348</v>
      </c>
      <c r="B4177" cm="1">
        <f t="array" ref="B4177">MATCH(1,(Data!E2:E11="b")*(Data!A2:A11&gt;5),0)</f>
        <v>5</v>
      </c>
    </row>
    <row r="4189" spans="1:2" x14ac:dyDescent="0.2">
      <c r="A4189" t="s">
        <v>349</v>
      </c>
      <c r="B4189">
        <f>SUM(Fruit[Num])</f>
        <v>55</v>
      </c>
    </row>
    <row r="4201" spans="1:2" x14ac:dyDescent="0.2">
      <c r="A4201" t="s">
        <v>350</v>
      </c>
      <c r="B4201">
        <f>SUM(Fruit[[Price]:[Qty]])</f>
        <v>107.63999999999999</v>
      </c>
    </row>
    <row r="4213" spans="1:2" x14ac:dyDescent="0.2">
      <c r="A4213" t="s">
        <v>351</v>
      </c>
      <c r="B4213">
        <f>ROWS(Fruit[#All])</f>
        <v>11</v>
      </c>
    </row>
    <row r="4225" spans="1:2" x14ac:dyDescent="0.2">
      <c r="A4225" t="s">
        <v>352</v>
      </c>
      <c r="B4225">
        <f>COUNTA(Fruit[#Headers])</f>
        <v>8</v>
      </c>
    </row>
    <row r="4237" spans="1:2" x14ac:dyDescent="0.2">
      <c r="A4237" t="s">
        <v>353</v>
      </c>
      <c r="B4237" t="str">
        <f>INDEX(Fruit[Name],3)</f>
        <v>cherry</v>
      </c>
    </row>
    <row r="4249" spans="1:2" x14ac:dyDescent="0.2">
      <c r="A4249" t="s">
        <v>354</v>
      </c>
      <c r="B4249">
        <f>SUMIFS(Fruit[Qty],Fruit[Cat],"a")</f>
        <v>13</v>
      </c>
    </row>
    <row r="4261" spans="1:2" x14ac:dyDescent="0.2">
      <c r="A4261" t="s">
        <v>355</v>
      </c>
      <c r="B4261">
        <f>_xlfn.LET(_xlpm.x,5,_xlpm.y,_xlpm.x*2,_xlpm.x+_xlpm.y)</f>
        <v>15</v>
      </c>
    </row>
    <row r="4273" spans="1:2" x14ac:dyDescent="0.2">
      <c r="A4273" t="s">
        <v>356</v>
      </c>
      <c r="B4273">
        <f>_xlfn.LET(_xlpm.total,SUM(Data!A2:A11),_xlpm.total/COUNT(Data!A2:A11))</f>
        <v>5.5</v>
      </c>
    </row>
    <row r="4285" spans="1:2" x14ac:dyDescent="0.2">
      <c r="A4285" t="s">
        <v>357</v>
      </c>
      <c r="B4285" cm="1">
        <f t="array" ref="B4285">_xlfn.LET(_xlpm.r,Data!A2:A11,SUM(_xlpm.r*2))</f>
        <v>110</v>
      </c>
    </row>
    <row r="4297" spans="1:2" x14ac:dyDescent="0.2">
      <c r="A4297" t="s">
        <v>358</v>
      </c>
      <c r="B4297" t="str">
        <f ca="1">INDIRECT("Data!B"&amp;3)</f>
        <v>Banana</v>
      </c>
    </row>
    <row r="4309" spans="1:2" x14ac:dyDescent="0.2">
      <c r="A4309" t="s">
        <v>359</v>
      </c>
      <c r="B4309">
        <f ca="1">SUM(INDIRECT("Data!A2:A5"))</f>
        <v>17</v>
      </c>
    </row>
    <row r="4321" spans="1:2" x14ac:dyDescent="0.2">
      <c r="A4321" t="s">
        <v>360</v>
      </c>
      <c r="B4321" t="str">
        <f ca="1">INDIRECT("Data!R3C2",FALSE)</f>
        <v>Banana</v>
      </c>
    </row>
    <row r="4333" spans="1:2" x14ac:dyDescent="0.2">
      <c r="A4333" t="s">
        <v>361</v>
      </c>
      <c r="B4333">
        <f ca="1">SUM(INDIRECT("Nums"))</f>
        <v>55</v>
      </c>
    </row>
    <row r="4345" spans="1:2" x14ac:dyDescent="0.2">
      <c r="A4345" t="s">
        <v>362</v>
      </c>
      <c r="B4345">
        <f ca="1">SUM(OFFSET(Data!A2,2,0,3,2))</f>
        <v>18</v>
      </c>
    </row>
    <row r="4357" spans="1:2" x14ac:dyDescent="0.2">
      <c r="A4357" t="s">
        <v>363</v>
      </c>
      <c r="B4357" t="str">
        <f ca="1">OFFSET(Data!A2,3,1)</f>
        <v>date</v>
      </c>
    </row>
    <row r="4369" spans="1:2" x14ac:dyDescent="0.2">
      <c r="A4369" t="s">
        <v>364</v>
      </c>
      <c r="B4369">
        <f ca="1">ROWS(OFFSET(Data!A1,0,0,5,2))</f>
        <v>5</v>
      </c>
    </row>
    <row r="4381" spans="1:2" x14ac:dyDescent="0.2">
      <c r="A4381" t="s">
        <v>365</v>
      </c>
      <c r="B4381">
        <f>SUM(Data!A2:INDEX(Data!A2:A11,4))</f>
        <v>17</v>
      </c>
    </row>
    <row r="4393" spans="1:2" x14ac:dyDescent="0.2">
      <c r="A4393" t="s">
        <v>366</v>
      </c>
      <c r="B4393">
        <f>SUM((Data!A2:A3,Data!A6:A7))</f>
        <v>19</v>
      </c>
    </row>
    <row r="4405" spans="1:2" x14ac:dyDescent="0.2">
      <c r="A4405" t="s">
        <v>367</v>
      </c>
      <c r="B4405">
        <f>AREAS((Data!A2:A3,Data!A6:A7))</f>
        <v>2</v>
      </c>
    </row>
    <row r="4417" spans="1:3" x14ac:dyDescent="0.2">
      <c r="A4417" t="s">
        <v>368</v>
      </c>
      <c r="B4417" t="str">
        <f>INDEX((Data!A2:A3,Data!B2:B3),2,1,2)</f>
        <v>Banana</v>
      </c>
    </row>
    <row r="4429" spans="1:3" x14ac:dyDescent="0.2">
      <c r="A4429" t="s">
        <v>369</v>
      </c>
      <c r="B4429" t="str" cm="1">
        <f t="array" ref="B4429:C4430">Data!A2:C5 Data!B3:D4</f>
        <v>Banana</v>
      </c>
      <c r="C4429" t="str">
        <v>2</v>
      </c>
    </row>
    <row r="4430" spans="1:3" x14ac:dyDescent="0.2">
      <c r="B4430" t="str">
        <v>cherry</v>
      </c>
      <c r="C4430" t="b">
        <v>1</v>
      </c>
    </row>
    <row r="4441" spans="1:2" x14ac:dyDescent="0.2">
      <c r="A4441" t="s">
        <v>370</v>
      </c>
      <c r="B4441">
        <f>SUM(Data!A2:C5 Data!B3:D4)</f>
        <v>0</v>
      </c>
    </row>
    <row r="4453" spans="1:2" x14ac:dyDescent="0.2">
      <c r="A4453" t="s">
        <v>371</v>
      </c>
      <c r="B4453" t="e">
        <f>SUM(Data!A2:A3 Data!B2:B3)</f>
        <v>#NULL!</v>
      </c>
    </row>
    <row r="4465" spans="1:2" x14ac:dyDescent="0.2">
      <c r="A4465" t="s">
        <v>372</v>
      </c>
      <c r="B4465">
        <f>SUM(Data:Other!A1)</f>
        <v>100</v>
      </c>
    </row>
    <row r="4477" spans="1:2" x14ac:dyDescent="0.2">
      <c r="A4477" t="s">
        <v>373</v>
      </c>
      <c r="B4477">
        <f>COUNT(Data:Other!A1:B2)</f>
        <v>4</v>
      </c>
    </row>
    <row r="4489" spans="1:2" x14ac:dyDescent="0.2">
      <c r="A4489" t="s">
        <v>374</v>
      </c>
      <c r="B4489" t="str">
        <f>_xlfn.TEXTBEFORE("one two three"," ",-1)</f>
        <v>one two</v>
      </c>
    </row>
    <row r="4501" spans="1:2" x14ac:dyDescent="0.2">
      <c r="A4501" t="s">
        <v>375</v>
      </c>
      <c r="B4501" t="str">
        <f>_xlfn.TEXTAFTER("a-b-c","B",1,1)</f>
        <v>-c</v>
      </c>
    </row>
    <row r="4513" spans="1:2" x14ac:dyDescent="0.2">
      <c r="A4513" t="s">
        <v>376</v>
      </c>
      <c r="B4513" t="str">
        <f>_xlfn.TEXTAFTER("a-b-c","x",1,0,0,"none")</f>
        <v>none</v>
      </c>
    </row>
    <row r="4525" spans="1:2" x14ac:dyDescent="0.2">
      <c r="A4525" t="s">
        <v>377</v>
      </c>
      <c r="B4525" t="b">
        <f>_xlfn.ISFORMULA(Other!A1)</f>
        <v>0</v>
      </c>
    </row>
    <row r="4537" spans="1:2" x14ac:dyDescent="0.2">
      <c r="A4537" t="s">
        <v>378</v>
      </c>
      <c r="B4537" t="b">
        <f>ISREF(Data!A1)</f>
        <v>1</v>
      </c>
    </row>
    <row r="4549" spans="1:2" x14ac:dyDescent="0.2">
      <c r="A4549" t="s">
        <v>379</v>
      </c>
      <c r="B4549" t="b">
        <f>ISREF(1)</f>
        <v>0</v>
      </c>
    </row>
    <row r="4561" spans="1:2" x14ac:dyDescent="0.2">
      <c r="A4561" t="s">
        <v>380</v>
      </c>
      <c r="B4561">
        <f>N(Data!B2)</f>
        <v>0</v>
      </c>
    </row>
    <row r="4573" spans="1:2" x14ac:dyDescent="0.2">
      <c r="A4573" t="s">
        <v>381</v>
      </c>
      <c r="B4573">
        <f>SUMPRODUCT((Data!E2:E11="a")*(Data!A2:A11&gt;3))</f>
        <v>3</v>
      </c>
    </row>
    <row r="4585" spans="1:2" x14ac:dyDescent="0.2">
      <c r="A4585" t="s">
        <v>382</v>
      </c>
      <c r="B4585">
        <f>SUMIF(Data!A2:A11,"&gt;"&amp;Data!A3)</f>
        <v>49</v>
      </c>
    </row>
    <row r="4597" spans="1:2" x14ac:dyDescent="0.2">
      <c r="A4597" t="s">
        <v>383</v>
      </c>
      <c r="B4597">
        <f>COUNTIF(Data!D2:D11,"&gt;="&amp;DATE(2024,5,1))</f>
        <v>6</v>
      </c>
    </row>
    <row r="4609" spans="1:2" x14ac:dyDescent="0.2">
      <c r="A4609" t="s">
        <v>384</v>
      </c>
      <c r="B4609" t="str">
        <f>VLOOKUP(2,Data!A2:B11,2,FALSE)</f>
        <v>fig</v>
      </c>
    </row>
    <row r="4621" spans="1:2" x14ac:dyDescent="0.2">
      <c r="A4621" t="s">
        <v>385</v>
      </c>
      <c r="B4621">
        <f>HLOOKUP("Qty",Data!A1:H3,2,FALSE)</f>
        <v>3</v>
      </c>
    </row>
    <row r="4633" spans="1:2" x14ac:dyDescent="0.2">
      <c r="A4633" t="s">
        <v>386</v>
      </c>
      <c r="B4633" t="str">
        <f>LOOKUP(2,{1,2,3},{"a","b","c"})</f>
        <v>b</v>
      </c>
    </row>
    <row r="4645" spans="1:2" x14ac:dyDescent="0.2">
      <c r="A4645" t="s">
        <v>387</v>
      </c>
      <c r="B4645">
        <f>MATCH("b",{"a","b","c"},0)</f>
        <v>2</v>
      </c>
    </row>
    <row r="4657" spans="1:2" x14ac:dyDescent="0.2">
      <c r="A4657" t="s">
        <v>388</v>
      </c>
      <c r="B4657">
        <f>_xlfn.RANK.AVG(5,Data!A2:A11)</f>
        <v>6</v>
      </c>
    </row>
    <row r="4669" spans="1:2" x14ac:dyDescent="0.2">
      <c r="A4669" t="s">
        <v>389</v>
      </c>
      <c r="B4669">
        <f>MEDIAN(Data!C2:C11)</f>
        <v>1</v>
      </c>
    </row>
    <row r="4681" spans="1:2" x14ac:dyDescent="0.2">
      <c r="A4681" t="s">
        <v>390</v>
      </c>
      <c r="B4681">
        <f>MAX(Data!C2:C11,"20")</f>
        <v>20</v>
      </c>
    </row>
    <row r="4693" spans="1:2" x14ac:dyDescent="0.2">
      <c r="A4693" t="s">
        <v>391</v>
      </c>
      <c r="B4693">
        <f>MIN(TRUE,5)</f>
        <v>1</v>
      </c>
    </row>
    <row r="4705" spans="1:2" x14ac:dyDescent="0.2">
      <c r="A4705" t="s">
        <v>392</v>
      </c>
      <c r="B4705">
        <f>AVERAGEA(Data!C2:C6)</f>
        <v>1.75</v>
      </c>
    </row>
    <row r="4717" spans="1:2" x14ac:dyDescent="0.2">
      <c r="A4717" t="s">
        <v>393</v>
      </c>
      <c r="B4717">
        <f>COUNTA(Data!A1:H1,"",1)</f>
        <v>10</v>
      </c>
    </row>
    <row r="4729" spans="1:2" x14ac:dyDescent="0.2">
      <c r="A4729" t="s">
        <v>394</v>
      </c>
      <c r="B4729">
        <f>PRODUCT(Data!C2:C11)</f>
        <v>0</v>
      </c>
    </row>
    <row r="4741" spans="1:2" x14ac:dyDescent="0.2">
      <c r="A4741" t="s">
        <v>395</v>
      </c>
      <c r="B4741">
        <f>ROUND(2.675,2)</f>
        <v>2.68</v>
      </c>
    </row>
    <row r="4753" spans="1:2" x14ac:dyDescent="0.2">
      <c r="A4753" t="s">
        <v>396</v>
      </c>
      <c r="B4753">
        <f>ROUND(-1.005,2)</f>
        <v>-1.01</v>
      </c>
    </row>
    <row r="4765" spans="1:2" x14ac:dyDescent="0.2">
      <c r="A4765" t="s">
        <v>397</v>
      </c>
      <c r="B4765">
        <f>1-0.9</f>
        <v>9.9999999999999978E-2</v>
      </c>
    </row>
    <row r="4777" spans="1:2" x14ac:dyDescent="0.2">
      <c r="A4777" t="s">
        <v>398</v>
      </c>
      <c r="B4777">
        <f>0.1*3</f>
        <v>0.30000000000000004</v>
      </c>
    </row>
    <row r="4789" spans="1:2" x14ac:dyDescent="0.2">
      <c r="A4789" t="s">
        <v>399</v>
      </c>
      <c r="B4789" t="str">
        <f>TEXT(1234.5,"$#,##0.00_);($#,##0.00)")</f>
        <v xml:space="preserve">$1,234.50 </v>
      </c>
    </row>
    <row r="4801" spans="1:2" x14ac:dyDescent="0.2">
      <c r="A4801" t="s">
        <v>400</v>
      </c>
      <c r="B4801" t="str">
        <f>TEXT(0.5,"h:mm AM/PM")</f>
        <v>12:00 PM</v>
      </c>
    </row>
    <row r="4813" spans="1:2" x14ac:dyDescent="0.2">
      <c r="A4813" t="s">
        <v>401</v>
      </c>
      <c r="B4813" t="str">
        <f>TEXT(1234567,"#,##0,")</f>
        <v>1,235</v>
      </c>
    </row>
    <row r="4825" spans="1:2" x14ac:dyDescent="0.2">
      <c r="A4825" t="s">
        <v>402</v>
      </c>
      <c r="B4825" t="str">
        <f>TEXT(0.123,"0.00E+00")</f>
        <v>1.23E-01</v>
      </c>
    </row>
    <row r="4837" spans="1:2" x14ac:dyDescent="0.2">
      <c r="A4837" t="s">
        <v>403</v>
      </c>
      <c r="B4837" t="str">
        <f>TEXT("abc","@")</f>
        <v>abc</v>
      </c>
    </row>
    <row r="4849" spans="1:2" x14ac:dyDescent="0.2">
      <c r="A4849" t="s">
        <v>404</v>
      </c>
      <c r="B4849">
        <f>VALUE("$1,234.50")</f>
        <v>1234.5</v>
      </c>
    </row>
    <row r="4861" spans="1:2" x14ac:dyDescent="0.2">
      <c r="A4861" t="s">
        <v>405</v>
      </c>
      <c r="B4861">
        <f>VALUE("(12)")</f>
        <v>-12</v>
      </c>
    </row>
    <row r="4873" spans="1:2" x14ac:dyDescent="0.2">
      <c r="A4873" t="s">
        <v>406</v>
      </c>
      <c r="B4873">
        <f>VALUE("15%")</f>
        <v>0.15</v>
      </c>
    </row>
    <row r="4885" spans="1:2" x14ac:dyDescent="0.2">
      <c r="A4885" t="s">
        <v>407</v>
      </c>
      <c r="B4885">
        <f>VALUE("13:30")</f>
        <v>0.5625</v>
      </c>
    </row>
    <row r="4897" spans="1:2" x14ac:dyDescent="0.2">
      <c r="A4897" t="s">
        <v>408</v>
      </c>
      <c r="B4897">
        <f>VALUE("Jan 5, 2024")</f>
        <v>45296</v>
      </c>
    </row>
    <row r="4909" spans="1:2" x14ac:dyDescent="0.2">
      <c r="A4909" t="s">
        <v>409</v>
      </c>
      <c r="B4909">
        <f>VALUE("5-Jan-2024")</f>
        <v>45296</v>
      </c>
    </row>
    <row r="4921" spans="1:2" x14ac:dyDescent="0.2">
      <c r="A4921" t="s">
        <v>410</v>
      </c>
      <c r="B4921">
        <f>DATEVALUE("2024/2/29")</f>
        <v>45351</v>
      </c>
    </row>
    <row r="4933" spans="1:2" x14ac:dyDescent="0.2">
      <c r="A4933" t="s">
        <v>411</v>
      </c>
      <c r="B4933" t="e">
        <f>DATEVALUE("2023-02-29")</f>
        <v>#VALUE!</v>
      </c>
    </row>
    <row r="4945" spans="1:2" x14ac:dyDescent="0.2">
      <c r="A4945" t="s">
        <v>412</v>
      </c>
      <c r="B4945">
        <f>TIMEVALUE("6:45 PM")</f>
        <v>0.78125</v>
      </c>
    </row>
    <row r="4957" spans="1:2" x14ac:dyDescent="0.2">
      <c r="A4957" t="s">
        <v>413</v>
      </c>
      <c r="B4957">
        <f>"3/1/2024"-"2/1/2024"</f>
        <v>29</v>
      </c>
    </row>
    <row r="4969" spans="1:2" x14ac:dyDescent="0.2">
      <c r="A4969" t="s">
        <v>414</v>
      </c>
      <c r="B4969">
        <f>WEEKDAY(DATE(1900,1,1))</f>
        <v>1</v>
      </c>
    </row>
    <row r="4981" spans="1:2" x14ac:dyDescent="0.2">
      <c r="A4981" t="s">
        <v>415</v>
      </c>
      <c r="B4981">
        <f>YEAR(60)</f>
        <v>1900</v>
      </c>
    </row>
    <row r="4993" spans="1:2" x14ac:dyDescent="0.2">
      <c r="A4993" t="s">
        <v>416</v>
      </c>
      <c r="B4993">
        <f>DAY(0)</f>
        <v>0</v>
      </c>
    </row>
    <row r="5005" spans="1:2" x14ac:dyDescent="0.2">
      <c r="A5005" t="s">
        <v>417</v>
      </c>
      <c r="B5005">
        <f>WEEKNUM(DATE(2024,12,31),2)</f>
        <v>53</v>
      </c>
    </row>
    <row r="5017" spans="1:2" x14ac:dyDescent="0.2">
      <c r="A5017" t="s">
        <v>418</v>
      </c>
      <c r="B5017">
        <f>WEEKNUM(DATE(2025,1,1),21)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  <c r="H1" t="s">
        <v>440</v>
      </c>
    </row>
    <row r="2" spans="1:8" x14ac:dyDescent="0.2">
      <c r="A2">
        <v>5</v>
      </c>
      <c r="B2" t="s">
        <v>431</v>
      </c>
      <c r="C2">
        <v>1</v>
      </c>
      <c r="D2">
        <v>45292</v>
      </c>
      <c r="E2" t="s">
        <v>441</v>
      </c>
      <c r="F2">
        <v>10</v>
      </c>
      <c r="G2">
        <v>1.25</v>
      </c>
      <c r="H2">
        <v>3</v>
      </c>
    </row>
    <row r="3" spans="1:8" x14ac:dyDescent="0.2">
      <c r="A3">
        <v>3</v>
      </c>
      <c r="B3" t="s">
        <v>429</v>
      </c>
      <c r="C3" t="s">
        <v>430</v>
      </c>
      <c r="D3">
        <v>45329</v>
      </c>
      <c r="E3" t="s">
        <v>419</v>
      </c>
      <c r="F3">
        <v>20</v>
      </c>
      <c r="G3">
        <v>0.5</v>
      </c>
      <c r="H3">
        <v>12</v>
      </c>
    </row>
    <row r="4" spans="1:8" x14ac:dyDescent="0.2">
      <c r="A4">
        <v>8</v>
      </c>
      <c r="B4" t="s">
        <v>428</v>
      </c>
      <c r="C4" t="b">
        <v>1</v>
      </c>
      <c r="D4">
        <v>45366</v>
      </c>
      <c r="E4" t="s">
        <v>441</v>
      </c>
      <c r="F4">
        <v>30</v>
      </c>
      <c r="G4">
        <v>4.75</v>
      </c>
      <c r="H4">
        <v>1</v>
      </c>
    </row>
    <row r="5" spans="1:8" x14ac:dyDescent="0.2">
      <c r="A5">
        <v>1</v>
      </c>
      <c r="B5" t="s">
        <v>427</v>
      </c>
      <c r="D5">
        <v>45403</v>
      </c>
      <c r="E5" t="s">
        <v>420</v>
      </c>
      <c r="F5">
        <v>40</v>
      </c>
      <c r="G5">
        <v>2</v>
      </c>
      <c r="H5">
        <v>7</v>
      </c>
    </row>
    <row r="6" spans="1:8" x14ac:dyDescent="0.2">
      <c r="A6">
        <v>9</v>
      </c>
      <c r="B6" t="s">
        <v>426</v>
      </c>
      <c r="C6">
        <v>5</v>
      </c>
      <c r="D6">
        <v>45440</v>
      </c>
      <c r="E6" t="s">
        <v>419</v>
      </c>
      <c r="F6">
        <v>50</v>
      </c>
      <c r="G6">
        <v>10.5</v>
      </c>
      <c r="H6">
        <v>2</v>
      </c>
    </row>
    <row r="7" spans="1:8" x14ac:dyDescent="0.2">
      <c r="A7">
        <v>2</v>
      </c>
      <c r="B7" t="s">
        <v>424</v>
      </c>
      <c r="C7" t="s">
        <v>425</v>
      </c>
      <c r="D7">
        <v>45477</v>
      </c>
      <c r="E7" t="s">
        <v>441</v>
      </c>
      <c r="F7">
        <v>60</v>
      </c>
      <c r="G7">
        <v>3.3</v>
      </c>
      <c r="H7">
        <v>5</v>
      </c>
    </row>
    <row r="8" spans="1:8" x14ac:dyDescent="0.2">
      <c r="A8">
        <v>7</v>
      </c>
      <c r="B8" t="s">
        <v>423</v>
      </c>
      <c r="C8">
        <v>3.5</v>
      </c>
      <c r="D8">
        <v>45514</v>
      </c>
      <c r="E8" t="s">
        <v>420</v>
      </c>
      <c r="F8">
        <v>70</v>
      </c>
      <c r="G8">
        <v>0.99</v>
      </c>
      <c r="H8">
        <v>20</v>
      </c>
    </row>
    <row r="9" spans="1:8" x14ac:dyDescent="0.2">
      <c r="A9">
        <v>4</v>
      </c>
      <c r="B9" t="s">
        <v>422</v>
      </c>
      <c r="C9" t="b">
        <v>0</v>
      </c>
      <c r="D9">
        <v>45551</v>
      </c>
      <c r="E9" t="s">
        <v>441</v>
      </c>
      <c r="F9">
        <v>80</v>
      </c>
      <c r="G9">
        <v>6.25</v>
      </c>
      <c r="H9">
        <v>4</v>
      </c>
    </row>
    <row r="10" spans="1:8" x14ac:dyDescent="0.2">
      <c r="A10">
        <v>6</v>
      </c>
      <c r="B10" t="s">
        <v>421</v>
      </c>
      <c r="C10">
        <v>-2</v>
      </c>
      <c r="D10">
        <v>45588</v>
      </c>
      <c r="E10" t="s">
        <v>419</v>
      </c>
      <c r="F10">
        <v>90</v>
      </c>
      <c r="G10">
        <v>1.1000000000000001</v>
      </c>
      <c r="H10">
        <v>9</v>
      </c>
    </row>
    <row r="11" spans="1:8" x14ac:dyDescent="0.2">
      <c r="A11">
        <v>10</v>
      </c>
      <c r="B11" t="s">
        <v>432</v>
      </c>
      <c r="C11">
        <v>0</v>
      </c>
      <c r="D11">
        <v>45625</v>
      </c>
      <c r="E11" t="s">
        <v>420</v>
      </c>
      <c r="F11">
        <v>100</v>
      </c>
      <c r="G11">
        <v>8</v>
      </c>
      <c r="H11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/>
  </sheetViews>
  <sheetFormatPr baseColWidth="10" defaultColWidth="8.83203125" defaultRowHeight="15" x14ac:dyDescent="0.2"/>
  <sheetData>
    <row r="1" spans="1:4" x14ac:dyDescent="0.2">
      <c r="A1">
        <v>100</v>
      </c>
      <c r="B1" t="s">
        <v>442</v>
      </c>
      <c r="D1" t="str">
        <f>TEXT(1234.5,"#,##0.00")</f>
        <v>1,234.50</v>
      </c>
    </row>
    <row r="2" spans="1:4" x14ac:dyDescent="0.2">
      <c r="A2">
        <v>200</v>
      </c>
      <c r="B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Legacy</vt:lpstr>
      <vt:lpstr>Dynamic</vt:lpstr>
      <vt:lpstr>Data</vt:lpstr>
      <vt:lpstr>Other</vt:lpstr>
      <vt:lpstr>Nums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 Franke – VALID</cp:lastModifiedBy>
  <dcterms:modified xsi:type="dcterms:W3CDTF">2026-09-28T23:16:18Z</dcterms:modified>
</cp:coreProperties>
</file>